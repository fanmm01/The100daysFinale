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Datastruct\luoguc\The100daysFinale\曲\正式版\_temp\"/>
    </mc:Choice>
  </mc:AlternateContent>
  <bookViews>
    <workbookView windowWidth="18352" windowHeight="8055" activeTab="1"/>
  </bookViews>
  <sheets>
    <sheet name="g1" sheetId="1" r:id="rId1"/>
    <sheet name="Sheet2" sheetId="2" r:id="rId2"/>
    <sheet name="Sheet3" sheetId="3" r:id="rId3"/>
  </sheets>
  <definedNames>
    <definedName name="_xlnm._FilterDatabase" localSheetId="0" hidden="1">'g1'!$A$2:$A$182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<sst xmlns="http://schemas.openxmlformats.org/spreadsheetml/2006/main" count="1116" uniqueCount="67">
  <si>
    <t>pt</t>
  </si>
  <si>
    <t>rb</t>
  </si>
  <si>
    <t>ast</t>
  </si>
  <si>
    <t>blk</t>
  </si>
  <si>
    <t>stl</t>
  </si>
  <si>
    <t>fgm</t>
  </si>
  <si>
    <t>fga</t>
  </si>
  <si>
    <t>3m</t>
  </si>
  <si>
    <t>3a</t>
  </si>
  <si>
    <t>ftm</t>
  </si>
  <si>
    <t>fta</t>
  </si>
  <si>
    <t>rbo</t>
  </si>
  <si>
    <t>fl</t>
  </si>
  <si>
    <t>to</t>
  </si>
  <si>
    <t>+-</t>
  </si>
  <si>
    <t>G1</t>
  </si>
  <si>
    <t>NO</t>
  </si>
  <si>
    <t>Lonzo Ball</t>
  </si>
  <si>
    <t>N.A.Walker</t>
  </si>
  <si>
    <t>B.Ingram</t>
  </si>
  <si>
    <t>Z.Williamson</t>
  </si>
  <si>
    <t>A.Drummond</t>
  </si>
  <si>
    <t>J.Holiday</t>
  </si>
  <si>
    <t>S.Mcdaniels</t>
  </si>
  <si>
    <t>J.Hart</t>
  </si>
  <si>
    <t>D.Gallinari</t>
  </si>
  <si>
    <t>CLE</t>
  </si>
  <si>
    <t>S.G.Alexander</t>
  </si>
  <si>
    <t>D.Mitchell</t>
  </si>
  <si>
    <t>D.Booker</t>
  </si>
  <si>
    <t>M.Robinson</t>
  </si>
  <si>
    <t>W.Chamberlain</t>
  </si>
  <si>
    <t>J.Brown</t>
  </si>
  <si>
    <t>T.Rozier III</t>
  </si>
  <si>
    <t>M.Wagner</t>
  </si>
  <si>
    <t>E.Schmidt</t>
  </si>
  <si>
    <t>Total</t>
  </si>
  <si>
    <t>G2</t>
  </si>
  <si>
    <t>G3</t>
  </si>
  <si>
    <t>G4</t>
  </si>
  <si>
    <t>G5</t>
  </si>
  <si>
    <t>G6</t>
  </si>
  <si>
    <t>G7</t>
  </si>
  <si>
    <t>---</t>
  </si>
  <si>
    <t>game</t>
  </si>
  <si>
    <t>得分</t>
  </si>
  <si>
    <t>篮板</t>
  </si>
  <si>
    <t>助攻</t>
  </si>
  <si>
    <t>盖帽</t>
  </si>
  <si>
    <t>抢断</t>
  </si>
  <si>
    <t>FGM</t>
  </si>
  <si>
    <t>FGA</t>
  </si>
  <si>
    <t>FG%</t>
  </si>
  <si>
    <t>3PTM</t>
  </si>
  <si>
    <t>3PTA</t>
  </si>
  <si>
    <t>3PT%</t>
  </si>
  <si>
    <t>FTM</t>
  </si>
  <si>
    <t>FTA</t>
  </si>
  <si>
    <t>FT%</t>
  </si>
  <si>
    <t>进攻篮板</t>
  </si>
  <si>
    <t>犯规</t>
  </si>
  <si>
    <t>失误</t>
  </si>
  <si>
    <t>正负值/分差</t>
  </si>
  <si>
    <t>Average</t>
  </si>
  <si>
    <t>CLE总计</t>
  </si>
  <si>
    <t>NO总计</t>
  </si>
  <si>
    <t>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</si>
</sst>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_);[Red]\(0.00\)"/>
  </numFmts>
  <fonts count="30">
    <font>
      <sz val="11"/>
      <name val="宋体"/>
      <charset val="134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b/>
      <sz val="16"/>
      <color theme="4"/>
      <name val="Microsoft YaHei"/>
      <charset val="134"/>
    </font>
    <font>
      <b/>
      <sz val="11"/>
      <color rgb="FFFFFFFF"/>
      <name val="宋体"/>
      <charset val="134"/>
    </font>
    <font>
      <sz val="11"/>
      <name val="微软雅黑"/>
      <charset val="134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ECF1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 tint="0.6"/>
      </bottom>
      <diagonal/>
    </border>
    <border>
      <left/>
      <right/>
      <top/>
      <bottom style="thin">
        <color theme="4" tint="0.6"/>
      </bottom>
      <diagonal/>
    </border>
    <border>
      <left/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/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/>
      <right/>
      <top style="thin">
        <color theme="4" tint="0.6"/>
      </top>
      <bottom style="thin">
        <color theme="4" tint="0.6"/>
      </bottom>
      <diagonal/>
    </border>
    <border>
      <left/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/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/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rgb="FF4874CB"/>
      </left>
      <right/>
      <top style="thin">
        <color rgb="FF4874CB"/>
      </top>
      <bottom/>
      <diagonal/>
    </border>
    <border>
      <left/>
      <right/>
      <top style="thin">
        <color rgb="FF4874CB"/>
      </top>
      <bottom/>
      <diagonal/>
    </border>
    <border>
      <left/>
      <right style="thin">
        <color rgb="FF4874CB"/>
      </right>
      <top style="thin">
        <color rgb="FF4874CB"/>
      </top>
      <bottom/>
      <diagonal/>
    </border>
    <border>
      <left style="thin">
        <color rgb="FF4874CB"/>
      </left>
      <right/>
      <top/>
      <bottom/>
      <diagonal/>
    </border>
    <border>
      <left/>
      <right style="thin">
        <color rgb="FF4874CB"/>
      </right>
      <top/>
      <bottom/>
      <diagonal/>
    </border>
    <border>
      <left style="thin">
        <color rgb="FF4874CB"/>
      </left>
      <right/>
      <top/>
      <bottom style="thin">
        <color rgb="FF4874CB"/>
      </bottom>
      <diagonal/>
    </border>
    <border>
      <left/>
      <right/>
      <top/>
      <bottom style="thin">
        <color rgb="FF4874CB"/>
      </bottom>
      <diagonal/>
    </border>
    <border>
      <left/>
      <right style="thin">
        <color rgb="FF4874CB"/>
      </right>
      <top/>
      <bottom style="thin">
        <color rgb="FF4874C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7" borderId="28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9">
      <alignment vertical="center"/>
    </xf>
    <xf numFmtId="0" fontId="17" fillId="0" borderId="29">
      <alignment vertical="center"/>
    </xf>
    <xf numFmtId="0" fontId="18" fillId="0" borderId="30">
      <alignment vertical="center"/>
    </xf>
    <xf numFmtId="0" fontId="18" fillId="0" borderId="0">
      <alignment vertical="center"/>
    </xf>
    <xf numFmtId="0" fontId="19" fillId="8" borderId="31">
      <alignment vertical="center"/>
    </xf>
    <xf numFmtId="0" fontId="20" fillId="9" borderId="32">
      <alignment vertical="center"/>
    </xf>
    <xf numFmtId="0" fontId="21" fillId="9" borderId="31">
      <alignment vertical="center"/>
    </xf>
    <xf numFmtId="0" fontId="22" fillId="10" borderId="33">
      <alignment vertical="center"/>
    </xf>
    <xf numFmtId="0" fontId="23" fillId="0" borderId="34">
      <alignment vertical="center"/>
    </xf>
    <xf numFmtId="0" fontId="24" fillId="0" borderId="35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2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28" fillId="36" borderId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6" xfId="0" applyBorder="1" applyAlignment="1"/>
    <xf numFmtId="0" fontId="1" fillId="2" borderId="7" xfId="0" applyFont="1" applyFill="1" applyBorder="1" applyAlignment="1">
      <alignment horizontal="center" vertical="center" wrapText="1"/>
    </xf>
    <xf numFmtId="176" fontId="2" fillId="3" borderId="8" xfId="0" applyNumberFormat="1" applyFont="1" applyFill="1" applyBorder="1" applyAlignment="1">
      <alignment horizontal="center" vertical="center" wrapText="1"/>
    </xf>
    <xf numFmtId="176" fontId="2" fillId="3" borderId="9" xfId="0" applyNumberFormat="1" applyFont="1" applyFill="1" applyBorder="1" applyAlignment="1">
      <alignment horizontal="center" vertical="center" wrapText="1"/>
    </xf>
    <xf numFmtId="176" fontId="2" fillId="3" borderId="10" xfId="0" applyNumberFormat="1" applyFont="1" applyFill="1" applyBorder="1" applyAlignment="1">
      <alignment horizontal="center" vertical="center" wrapText="1"/>
    </xf>
    <xf numFmtId="176" fontId="2" fillId="4" borderId="8" xfId="0" applyNumberFormat="1" applyFont="1" applyFill="1" applyBorder="1" applyAlignment="1">
      <alignment horizontal="center" vertical="center" wrapText="1"/>
    </xf>
    <xf numFmtId="176" fontId="2" fillId="4" borderId="9" xfId="0" applyNumberFormat="1" applyFont="1" applyFill="1" applyBorder="1" applyAlignment="1">
      <alignment horizontal="center" vertical="center" wrapText="1"/>
    </xf>
    <xf numFmtId="176" fontId="2" fillId="4" borderId="10" xfId="0" applyNumberFormat="1" applyFont="1" applyFill="1" applyBorder="1" applyAlignment="1">
      <alignment horizontal="center" vertical="center" wrapText="1"/>
    </xf>
    <xf numFmtId="0" fontId="0" fillId="0" borderId="11" xfId="0" applyBorder="1" applyAlignment="1"/>
    <xf numFmtId="0" fontId="0" fillId="0" borderId="12" xfId="0" applyBorder="1" applyAlignment="1"/>
    <xf numFmtId="0" fontId="1" fillId="2" borderId="13" xfId="0" applyFont="1" applyFill="1" applyBorder="1" applyAlignment="1">
      <alignment horizontal="center" vertical="center" wrapText="1"/>
    </xf>
    <xf numFmtId="176" fontId="2" fillId="3" borderId="14" xfId="0" applyNumberFormat="1" applyFont="1" applyFill="1" applyBorder="1" applyAlignment="1">
      <alignment horizontal="center" vertical="center" wrapText="1"/>
    </xf>
    <xf numFmtId="176" fontId="2" fillId="3" borderId="15" xfId="0" applyNumberFormat="1" applyFont="1" applyFill="1" applyBorder="1" applyAlignment="1">
      <alignment horizontal="center" vertical="center" wrapText="1"/>
    </xf>
    <xf numFmtId="176" fontId="2" fillId="3" borderId="1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177" fontId="2" fillId="4" borderId="18" xfId="3" applyNumberFormat="1" applyFont="1" applyFill="1" applyBorder="1" applyAlignment="1">
      <alignment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77" fontId="2" fillId="3" borderId="9" xfId="3" applyNumberFormat="1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177" fontId="2" fillId="4" borderId="9" xfId="3" applyNumberFormat="1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 wrapText="1"/>
    </xf>
    <xf numFmtId="177" fontId="2" fillId="3" borderId="15" xfId="3" applyNumberFormat="1" applyFont="1" applyFill="1" applyBorder="1" applyAlignment="1">
      <alignment vertical="center"/>
    </xf>
    <xf numFmtId="0" fontId="5" fillId="0" borderId="0" xfId="0" applyAlignment="1"/>
    <xf numFmtId="0" fontId="6" fillId="5" borderId="20" xfId="0" applyFont="1" applyFill="1" applyBorder="1" applyAlignment="1">
      <alignment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0" fillId="0" borderId="0" xfId="0" applyAlignment="1" quotePrefix="1">
      <alignment vertical="center"/>
    </xf>
    <xf numFmtId="177" fontId="2" fillId="3" borderId="9" xfId="3" applyNumberFormat="1" applyFont="1" applyFill="1" applyBorder="1" applyAlignment="1" quotePrefix="1">
      <alignment vertical="center"/>
    </xf>
    <xf numFmtId="177" fontId="2" fillId="4" borderId="9" xfId="3" applyNumberFormat="1" applyFont="1" applyFill="1" applyBorder="1" applyAlignment="1" quotePrefix="1">
      <alignment vertical="center"/>
    </xf>
    <xf numFmtId="177" fontId="2" fillId="4" borderId="18" xfId="3" applyNumberFormat="1" applyFont="1" applyFill="1" applyBorder="1" applyAlignment="1" quotePrefix="1">
      <alignment vertical="center"/>
    </xf>
    <xf numFmtId="177" fontId="2" fillId="3" borderId="15" xfId="3" applyNumberFormat="1" applyFont="1" applyFill="1" applyBorder="1" applyAlignment="1" quotePrefix="1">
      <alignment vertical="center"/>
    </xf>
    <xf numFmtId="176" fontId="2" fillId="3" borderId="9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theme="0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sz val="11"/>
        <color theme="0"/>
      </font>
      <fill>
        <patternFill patternType="solid">
          <bgColor theme="4"/>
        </patternFill>
      </fill>
      <border>
        <left style="medium">
          <color theme="4"/>
        </left>
        <right/>
        <top style="thin">
          <color theme="4" tint="0.6"/>
        </top>
        <bottom style="medium">
          <color theme="4"/>
        </bottom>
        <vertical/>
        <horizontal/>
      </border>
    </dxf>
    <dxf>
      <fill>
        <patternFill patternType="solid">
          <bgColor theme="4"/>
        </patternFill>
      </fill>
      <border>
        <left style="thin">
          <color theme="4" tint="0.6"/>
        </left>
        <right style="medium">
          <color theme="4"/>
        </right>
        <top style="medium">
          <color theme="4"/>
        </top>
        <bottom style="thin">
          <color theme="4" tint="0.6"/>
        </bottom>
        <vertical/>
        <horizontal/>
      </border>
    </dxf>
    <dxf>
      <font>
        <b val="1"/>
        <sz val="11"/>
        <color theme="0"/>
      </font>
      <fill>
        <patternFill patternType="solid">
          <bgColor theme="4"/>
        </patternFill>
      </fill>
      <border>
        <left style="medium">
          <color theme="4"/>
        </left>
        <right style="thin">
          <color theme="4" tint="0.6"/>
        </right>
        <top style="medium">
          <color theme="4"/>
        </top>
        <bottom style="thin">
          <color theme="4" tint="0.6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sz val="11"/>
        <color theme="1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 style="thin">
          <color theme="4" tint="0.6"/>
        </horizontal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 style="thin">
          <color theme="4" tint="0.6"/>
        </horizontal>
      </border>
    </dxf>
    <dxf>
      <font>
        <b val="1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sz val="11"/>
        <color rgb="FFFFFFFF"/>
      </font>
      <fill>
        <patternFill patternType="solid">
          <bgColor theme="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 style="thin">
          <color theme="4" tint="0.6"/>
        </horizontal>
      </border>
    </dxf>
  </dxfs>
  <tableStyles count="2" defaultTableStyle="TableStyleMedium2" defaultPivotStyle="PivotStyleLight16">
    <tableStyle name="中色系标题行标题列镶边行表格样式_29c806" count="11" xr9:uid="{B8B22B10-9091-44ED-B1AE-F9F57DFBC5CA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  <tableStyleElement type="secondColumnStripe" dxfId="3"/>
      <tableStyleElement type="firstHeaderCell" dxfId="2"/>
      <tableStyleElement type="firstTotalCell" dxfId="1"/>
      <tableStyleElement type="lastTotalCell" dxfId="0"/>
    </tableStyle>
    <tableStyle name="中色系标题行标题列表格样式_008c58" count="12" xr9:uid="{D9ED0E56-40F2-4838-9FA4-75D73505FCE8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secondColumnStripe" dxfId="15"/>
      <tableStyleElement type="firstHeaderCell" dxfId="14"/>
      <tableStyleElement type="lastHeaderCell" dxfId="13"/>
      <tableStyleElement type="firstTotalCell" dxfId="12"/>
      <tableStyleElement type="lastTotalCell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5"/>
  <sheetViews>
    <sheetView zoomScale="85" zoomScaleNormal="85" topLeftCell="A21" workbookViewId="0">
      <selection activeCell="F33" sqref="F33"/>
    </sheetView>
  </sheetViews>
  <sheetFormatPr defaultColWidth="10" defaultRowHeight="15"/>
  <cols>
    <col min="1" max="1" width="15.3982300884956" style="37" customWidth="1"/>
    <col min="2" max="3" width="5.69911504424779" style="37" customWidth="1"/>
    <col min="4" max="4" width="6.09734513274336" style="37" customWidth="1"/>
    <col min="5" max="5" width="6.20353982300885" style="37" customWidth="1"/>
    <col min="6" max="6" width="5.50442477876106" style="37" customWidth="1"/>
    <col min="7" max="7" width="6.90265486725664" style="37" customWidth="1"/>
    <col min="8" max="8" width="6.30088495575221" style="37" customWidth="1"/>
    <col min="9" max="9" width="6.39823008849558" style="37" customWidth="1"/>
    <col min="10" max="10" width="5.79646017699115" style="37" customWidth="1"/>
    <col min="11" max="11" width="6.50442477876106" style="37" customWidth="1"/>
    <col min="12" max="12" width="5.90265486725664" style="37" customWidth="1"/>
    <col min="13" max="13" width="6.50442477876106" style="37" customWidth="1"/>
    <col min="14" max="14" width="4.79646017699115" style="37" customWidth="1"/>
    <col min="15" max="15" width="5.39823008849558" style="37" customWidth="1"/>
    <col min="16" max="16" width="6.50442477876106" style="37" customWidth="1"/>
  </cols>
  <sheetData>
    <row r="1" ht="13.9" customHeight="1" spans="1:16">
      <c r="A1" s="38"/>
      <c r="B1" s="39" t="s">
        <v>0</v>
      </c>
      <c r="C1" s="39" t="s">
        <v>1</v>
      </c>
      <c r="D1" s="39" t="s">
        <v>2</v>
      </c>
      <c r="E1" s="39" t="s">
        <v>3</v>
      </c>
      <c r="F1" s="39" t="s">
        <v>4</v>
      </c>
      <c r="G1" s="39" t="s">
        <v>5</v>
      </c>
      <c r="H1" s="39" t="s">
        <v>6</v>
      </c>
      <c r="I1" s="39" t="s">
        <v>7</v>
      </c>
      <c r="J1" s="39" t="s">
        <v>8</v>
      </c>
      <c r="K1" s="39" t="s">
        <v>9</v>
      </c>
      <c r="L1" s="39" t="s">
        <v>10</v>
      </c>
      <c r="M1" s="39" t="s">
        <v>11</v>
      </c>
      <c r="N1" s="39" t="s">
        <v>12</v>
      </c>
      <c r="O1" s="39" t="s">
        <v>13</v>
      </c>
      <c r="P1" s="40" t="s">
        <v>14</v>
      </c>
    </row>
    <row r="2" ht="13.9" customHeight="1" spans="1:16">
      <c r="A2" s="41" t="s">
        <v>15</v>
      </c>
      <c r="B2" s="42"/>
      <c r="C2" s="43"/>
      <c r="D2" s="42"/>
      <c r="E2" s="43"/>
      <c r="F2" s="42"/>
      <c r="G2" s="43"/>
      <c r="H2" s="42"/>
      <c r="I2" s="43"/>
      <c r="J2" s="42"/>
      <c r="K2" s="43"/>
      <c r="L2" s="42"/>
      <c r="M2" s="43"/>
      <c r="N2" s="42"/>
      <c r="O2" s="43"/>
      <c r="P2" s="44"/>
    </row>
    <row r="3" ht="13.9" customHeight="1" spans="1:16">
      <c r="A3" s="45" t="s">
        <v>16</v>
      </c>
      <c r="B3" s="39" t="s">
        <v>0</v>
      </c>
      <c r="C3" s="39" t="s">
        <v>1</v>
      </c>
      <c r="D3" s="39" t="s">
        <v>2</v>
      </c>
      <c r="E3" s="39" t="s">
        <v>3</v>
      </c>
      <c r="F3" s="39" t="s">
        <v>4</v>
      </c>
      <c r="G3" s="39" t="s">
        <v>5</v>
      </c>
      <c r="H3" s="39" t="s">
        <v>6</v>
      </c>
      <c r="I3" s="39" t="s">
        <v>7</v>
      </c>
      <c r="J3" s="39" t="s">
        <v>8</v>
      </c>
      <c r="K3" s="39" t="s">
        <v>9</v>
      </c>
      <c r="L3" s="39" t="s">
        <v>10</v>
      </c>
      <c r="M3" s="39" t="s">
        <v>11</v>
      </c>
      <c r="N3" s="39" t="s">
        <v>12</v>
      </c>
      <c r="O3" s="39" t="s">
        <v>13</v>
      </c>
      <c r="P3" s="40" t="s">
        <v>14</v>
      </c>
    </row>
    <row r="4" ht="13.9" customHeight="1" spans="1:16">
      <c r="A4" s="45" t="s">
        <v>17</v>
      </c>
      <c r="B4" s="46">
        <f t="shared" ref="B4:B12" si="0">G4*2+I4+K4</f>
        <v>9</v>
      </c>
      <c r="C4" s="47">
        <v>1</v>
      </c>
      <c r="D4" s="46">
        <v>2</v>
      </c>
      <c r="E4" s="47">
        <v>1</v>
      </c>
      <c r="F4" s="46">
        <v>1</v>
      </c>
      <c r="G4" s="47">
        <v>3</v>
      </c>
      <c r="H4" s="46">
        <v>10</v>
      </c>
      <c r="I4" s="47">
        <v>3</v>
      </c>
      <c r="J4" s="46">
        <v>6</v>
      </c>
      <c r="K4" s="47">
        <v>0</v>
      </c>
      <c r="L4" s="46">
        <v>0</v>
      </c>
      <c r="M4" s="47">
        <v>0</v>
      </c>
      <c r="N4" s="46">
        <v>6</v>
      </c>
      <c r="O4" s="47">
        <v>1</v>
      </c>
      <c r="P4" s="48">
        <v>5</v>
      </c>
    </row>
    <row r="5" ht="13.9" customHeight="1" spans="1:16">
      <c r="A5" s="45" t="s">
        <v>18</v>
      </c>
      <c r="B5" s="46">
        <f t="shared" si="0"/>
        <v>40</v>
      </c>
      <c r="C5" s="47">
        <v>9</v>
      </c>
      <c r="D5" s="46">
        <v>8</v>
      </c>
      <c r="E5" s="47">
        <v>0</v>
      </c>
      <c r="F5" s="46">
        <v>2</v>
      </c>
      <c r="G5" s="47">
        <v>13</v>
      </c>
      <c r="H5" s="46">
        <v>24</v>
      </c>
      <c r="I5" s="47">
        <v>6</v>
      </c>
      <c r="J5" s="46">
        <v>14</v>
      </c>
      <c r="K5" s="47">
        <v>8</v>
      </c>
      <c r="L5" s="46">
        <v>9</v>
      </c>
      <c r="M5" s="47">
        <v>2</v>
      </c>
      <c r="N5" s="46">
        <v>2</v>
      </c>
      <c r="O5" s="47">
        <v>2</v>
      </c>
      <c r="P5" s="48">
        <v>-4</v>
      </c>
    </row>
    <row r="6" ht="13.9" customHeight="1" spans="1:16">
      <c r="A6" s="45" t="s">
        <v>19</v>
      </c>
      <c r="B6" s="46">
        <f t="shared" si="0"/>
        <v>18</v>
      </c>
      <c r="C6" s="47">
        <v>5</v>
      </c>
      <c r="D6" s="46">
        <v>10</v>
      </c>
      <c r="E6" s="47">
        <v>2</v>
      </c>
      <c r="F6" s="46">
        <v>0</v>
      </c>
      <c r="G6" s="47">
        <v>7</v>
      </c>
      <c r="H6" s="46">
        <v>16</v>
      </c>
      <c r="I6" s="47">
        <v>1</v>
      </c>
      <c r="J6" s="46">
        <v>3</v>
      </c>
      <c r="K6" s="47">
        <v>3</v>
      </c>
      <c r="L6" s="46">
        <v>4</v>
      </c>
      <c r="M6" s="47">
        <v>1</v>
      </c>
      <c r="N6" s="46">
        <v>2</v>
      </c>
      <c r="O6" s="47">
        <v>2</v>
      </c>
      <c r="P6" s="48">
        <v>-11</v>
      </c>
    </row>
    <row r="7" ht="13.9" customHeight="1" spans="1:16">
      <c r="A7" s="45" t="s">
        <v>20</v>
      </c>
      <c r="B7" s="46">
        <f t="shared" si="0"/>
        <v>11</v>
      </c>
      <c r="C7" s="47">
        <v>6</v>
      </c>
      <c r="D7" s="46">
        <v>1</v>
      </c>
      <c r="E7" s="47">
        <v>3</v>
      </c>
      <c r="F7" s="46">
        <v>1</v>
      </c>
      <c r="G7" s="47">
        <v>5</v>
      </c>
      <c r="H7" s="46">
        <v>8</v>
      </c>
      <c r="I7" s="47">
        <v>1</v>
      </c>
      <c r="J7" s="46">
        <v>2</v>
      </c>
      <c r="K7" s="47">
        <v>0</v>
      </c>
      <c r="L7" s="46">
        <v>1</v>
      </c>
      <c r="M7" s="47">
        <v>1</v>
      </c>
      <c r="N7" s="46">
        <v>6</v>
      </c>
      <c r="O7" s="47">
        <v>1</v>
      </c>
      <c r="P7" s="48">
        <v>3</v>
      </c>
    </row>
    <row r="8" ht="13.9" customHeight="1" spans="1:16">
      <c r="A8" s="45" t="s">
        <v>21</v>
      </c>
      <c r="B8" s="46">
        <f t="shared" si="0"/>
        <v>19</v>
      </c>
      <c r="C8" s="47">
        <v>22</v>
      </c>
      <c r="D8" s="46">
        <v>2</v>
      </c>
      <c r="E8" s="47">
        <v>0</v>
      </c>
      <c r="F8" s="46">
        <v>1</v>
      </c>
      <c r="G8" s="47">
        <v>9</v>
      </c>
      <c r="H8" s="46">
        <v>12</v>
      </c>
      <c r="I8" s="47">
        <v>0</v>
      </c>
      <c r="J8" s="46">
        <v>0</v>
      </c>
      <c r="K8" s="47">
        <v>1</v>
      </c>
      <c r="L8" s="46">
        <v>2</v>
      </c>
      <c r="M8" s="47">
        <v>11</v>
      </c>
      <c r="N8" s="46">
        <v>1</v>
      </c>
      <c r="O8" s="47">
        <v>0</v>
      </c>
      <c r="P8" s="48">
        <v>-3</v>
      </c>
    </row>
    <row r="9" ht="13.9" customHeight="1" spans="1:16">
      <c r="A9" s="45" t="s">
        <v>22</v>
      </c>
      <c r="B9" s="46">
        <f t="shared" si="0"/>
        <v>15</v>
      </c>
      <c r="C9" s="47">
        <v>4</v>
      </c>
      <c r="D9" s="46">
        <v>4</v>
      </c>
      <c r="E9" s="47">
        <v>0</v>
      </c>
      <c r="F9" s="46">
        <v>1</v>
      </c>
      <c r="G9" s="47">
        <v>7</v>
      </c>
      <c r="H9" s="46">
        <v>15</v>
      </c>
      <c r="I9" s="47">
        <v>1</v>
      </c>
      <c r="J9" s="46">
        <v>3</v>
      </c>
      <c r="K9" s="47">
        <v>0</v>
      </c>
      <c r="L9" s="46">
        <v>0</v>
      </c>
      <c r="M9" s="47">
        <v>0</v>
      </c>
      <c r="N9" s="46">
        <v>2</v>
      </c>
      <c r="O9" s="47">
        <v>2</v>
      </c>
      <c r="P9" s="48">
        <v>1</v>
      </c>
    </row>
    <row r="10" ht="13.9" customHeight="1" spans="1:16">
      <c r="A10" s="45" t="s">
        <v>23</v>
      </c>
      <c r="B10" s="46">
        <f t="shared" si="0"/>
        <v>6</v>
      </c>
      <c r="C10" s="47">
        <v>2</v>
      </c>
      <c r="D10" s="46">
        <v>2</v>
      </c>
      <c r="E10" s="47">
        <v>0</v>
      </c>
      <c r="F10" s="46">
        <v>0</v>
      </c>
      <c r="G10" s="47">
        <v>2</v>
      </c>
      <c r="H10" s="46">
        <v>7</v>
      </c>
      <c r="I10" s="47">
        <v>1</v>
      </c>
      <c r="J10" s="46">
        <v>1</v>
      </c>
      <c r="K10" s="47">
        <v>1</v>
      </c>
      <c r="L10" s="46">
        <v>2</v>
      </c>
      <c r="M10" s="47">
        <v>0</v>
      </c>
      <c r="N10" s="46">
        <v>1</v>
      </c>
      <c r="O10" s="47">
        <v>4</v>
      </c>
      <c r="P10" s="48">
        <v>-14</v>
      </c>
    </row>
    <row r="11" ht="13.9" customHeight="1" spans="1:16">
      <c r="A11" s="45" t="s">
        <v>24</v>
      </c>
      <c r="B11" s="46">
        <f t="shared" si="0"/>
        <v>6</v>
      </c>
      <c r="C11" s="47">
        <v>0</v>
      </c>
      <c r="D11" s="46">
        <v>0</v>
      </c>
      <c r="E11" s="47">
        <v>1</v>
      </c>
      <c r="F11" s="46">
        <v>2</v>
      </c>
      <c r="G11" s="47">
        <v>3</v>
      </c>
      <c r="H11" s="46">
        <v>8</v>
      </c>
      <c r="I11" s="47">
        <v>0</v>
      </c>
      <c r="J11" s="46">
        <v>2</v>
      </c>
      <c r="K11" s="47">
        <v>0</v>
      </c>
      <c r="L11" s="46">
        <v>0</v>
      </c>
      <c r="M11" s="47">
        <v>0</v>
      </c>
      <c r="N11" s="46">
        <v>0</v>
      </c>
      <c r="O11" s="47">
        <v>2</v>
      </c>
      <c r="P11" s="48">
        <v>-7</v>
      </c>
    </row>
    <row r="12" ht="13.9" customHeight="1" spans="1:16">
      <c r="A12" s="45" t="s">
        <v>25</v>
      </c>
      <c r="B12" s="46">
        <f t="shared" si="0"/>
        <v>4</v>
      </c>
      <c r="C12" s="47">
        <v>2</v>
      </c>
      <c r="D12" s="46">
        <v>1</v>
      </c>
      <c r="E12" s="47">
        <v>1</v>
      </c>
      <c r="F12" s="46">
        <v>3</v>
      </c>
      <c r="G12" s="47">
        <v>1</v>
      </c>
      <c r="H12" s="46">
        <v>3</v>
      </c>
      <c r="I12" s="47">
        <v>1</v>
      </c>
      <c r="J12" s="46">
        <v>2</v>
      </c>
      <c r="K12" s="47">
        <v>1</v>
      </c>
      <c r="L12" s="46">
        <v>1</v>
      </c>
      <c r="M12" s="47">
        <v>0</v>
      </c>
      <c r="N12" s="46">
        <v>1</v>
      </c>
      <c r="O12" s="47">
        <v>0</v>
      </c>
      <c r="P12" s="48">
        <v>2</v>
      </c>
    </row>
    <row r="13" ht="13.9" customHeight="1" spans="1:16">
      <c r="A13" s="49" t="s">
        <v>26</v>
      </c>
      <c r="B13" s="39" t="s">
        <v>0</v>
      </c>
      <c r="C13" s="39" t="s">
        <v>1</v>
      </c>
      <c r="D13" s="39" t="s">
        <v>2</v>
      </c>
      <c r="E13" s="39" t="s">
        <v>3</v>
      </c>
      <c r="F13" s="39" t="s">
        <v>4</v>
      </c>
      <c r="G13" s="39" t="s">
        <v>5</v>
      </c>
      <c r="H13" s="39" t="s">
        <v>6</v>
      </c>
      <c r="I13" s="39" t="s">
        <v>7</v>
      </c>
      <c r="J13" s="39" t="s">
        <v>8</v>
      </c>
      <c r="K13" s="39" t="s">
        <v>9</v>
      </c>
      <c r="L13" s="39" t="s">
        <v>10</v>
      </c>
      <c r="M13" s="39" t="s">
        <v>11</v>
      </c>
      <c r="N13" s="39" t="s">
        <v>12</v>
      </c>
      <c r="O13" s="39" t="s">
        <v>13</v>
      </c>
      <c r="P13" s="40" t="s">
        <v>14</v>
      </c>
    </row>
    <row r="14" ht="13.9" customHeight="1" spans="1:16">
      <c r="A14" s="41" t="s">
        <v>27</v>
      </c>
      <c r="B14" s="46">
        <f t="shared" ref="B14:B22" si="1">G14*2+I14+K14</f>
        <v>53</v>
      </c>
      <c r="C14" s="43">
        <v>2</v>
      </c>
      <c r="D14" s="42">
        <v>4</v>
      </c>
      <c r="E14" s="43">
        <v>2</v>
      </c>
      <c r="F14" s="42">
        <v>1</v>
      </c>
      <c r="G14" s="43">
        <v>17</v>
      </c>
      <c r="H14" s="42">
        <v>24</v>
      </c>
      <c r="I14" s="43">
        <v>1</v>
      </c>
      <c r="J14" s="42">
        <v>1</v>
      </c>
      <c r="K14" s="43">
        <v>18</v>
      </c>
      <c r="L14" s="42">
        <v>18</v>
      </c>
      <c r="M14" s="43">
        <v>0</v>
      </c>
      <c r="N14" s="42">
        <v>5</v>
      </c>
      <c r="O14" s="43">
        <v>2</v>
      </c>
      <c r="P14" s="44">
        <v>13</v>
      </c>
    </row>
    <row r="15" ht="13.9" customHeight="1" spans="1:16">
      <c r="A15" s="45" t="s">
        <v>28</v>
      </c>
      <c r="B15" s="46">
        <f t="shared" si="1"/>
        <v>34</v>
      </c>
      <c r="C15" s="47">
        <v>4</v>
      </c>
      <c r="D15" s="46">
        <v>6</v>
      </c>
      <c r="E15" s="47">
        <v>1</v>
      </c>
      <c r="F15" s="46">
        <v>1</v>
      </c>
      <c r="G15" s="47">
        <v>12</v>
      </c>
      <c r="H15" s="46">
        <v>21</v>
      </c>
      <c r="I15" s="47">
        <v>0</v>
      </c>
      <c r="J15" s="46">
        <v>1</v>
      </c>
      <c r="K15" s="47">
        <v>10</v>
      </c>
      <c r="L15" s="46">
        <v>10</v>
      </c>
      <c r="M15" s="47">
        <v>0</v>
      </c>
      <c r="N15" s="46">
        <v>5</v>
      </c>
      <c r="O15" s="47">
        <v>2</v>
      </c>
      <c r="P15" s="48">
        <v>9</v>
      </c>
    </row>
    <row r="16" ht="13.9" customHeight="1" spans="1:16">
      <c r="A16" s="45" t="s">
        <v>29</v>
      </c>
      <c r="B16" s="46">
        <f t="shared" si="1"/>
        <v>12</v>
      </c>
      <c r="C16" s="47">
        <v>8</v>
      </c>
      <c r="D16" s="46">
        <v>10</v>
      </c>
      <c r="E16" s="47">
        <v>0</v>
      </c>
      <c r="F16" s="46">
        <v>1</v>
      </c>
      <c r="G16" s="47">
        <v>4</v>
      </c>
      <c r="H16" s="46">
        <v>15</v>
      </c>
      <c r="I16" s="47">
        <v>4</v>
      </c>
      <c r="J16" s="46">
        <v>8</v>
      </c>
      <c r="K16" s="47">
        <v>0</v>
      </c>
      <c r="L16" s="46">
        <v>0</v>
      </c>
      <c r="M16" s="47">
        <v>0</v>
      </c>
      <c r="N16" s="46">
        <v>4</v>
      </c>
      <c r="O16" s="47">
        <v>0</v>
      </c>
      <c r="P16" s="48">
        <v>18</v>
      </c>
    </row>
    <row r="17" ht="13.9" customHeight="1" spans="1:16">
      <c r="A17" s="45" t="s">
        <v>30</v>
      </c>
      <c r="B17" s="46">
        <f t="shared" si="1"/>
        <v>8</v>
      </c>
      <c r="C17" s="47">
        <v>8</v>
      </c>
      <c r="D17" s="46">
        <v>8</v>
      </c>
      <c r="E17" s="47">
        <v>4</v>
      </c>
      <c r="F17" s="46">
        <v>0</v>
      </c>
      <c r="G17" s="47">
        <v>2</v>
      </c>
      <c r="H17" s="46">
        <v>8</v>
      </c>
      <c r="I17" s="47">
        <v>0</v>
      </c>
      <c r="J17" s="46">
        <v>0</v>
      </c>
      <c r="K17" s="47">
        <v>4</v>
      </c>
      <c r="L17" s="46">
        <v>5</v>
      </c>
      <c r="M17" s="47">
        <v>3</v>
      </c>
      <c r="N17" s="46">
        <v>1</v>
      </c>
      <c r="O17" s="47">
        <v>1</v>
      </c>
      <c r="P17" s="48">
        <v>10</v>
      </c>
    </row>
    <row r="18" ht="13.9" customHeight="1" spans="1:16">
      <c r="A18" s="45" t="s">
        <v>31</v>
      </c>
      <c r="B18" s="46">
        <f t="shared" si="1"/>
        <v>6</v>
      </c>
      <c r="C18" s="47">
        <v>11</v>
      </c>
      <c r="D18" s="46">
        <v>3</v>
      </c>
      <c r="E18" s="47">
        <v>2</v>
      </c>
      <c r="F18" s="46">
        <v>2</v>
      </c>
      <c r="G18" s="47">
        <v>3</v>
      </c>
      <c r="H18" s="46">
        <v>3</v>
      </c>
      <c r="I18" s="47">
        <v>0</v>
      </c>
      <c r="J18" s="46">
        <v>0</v>
      </c>
      <c r="K18" s="47">
        <v>0</v>
      </c>
      <c r="L18" s="46">
        <v>1</v>
      </c>
      <c r="M18" s="47">
        <v>2</v>
      </c>
      <c r="N18" s="46">
        <v>4</v>
      </c>
      <c r="O18" s="47">
        <v>1</v>
      </c>
      <c r="P18" s="48">
        <v>20</v>
      </c>
    </row>
    <row r="19" ht="13.9" customHeight="1" spans="1:16">
      <c r="A19" s="45" t="s">
        <v>32</v>
      </c>
      <c r="B19" s="46">
        <f t="shared" si="1"/>
        <v>15</v>
      </c>
      <c r="C19" s="47">
        <v>6</v>
      </c>
      <c r="D19" s="46">
        <v>2</v>
      </c>
      <c r="E19" s="47">
        <v>0</v>
      </c>
      <c r="F19" s="46">
        <v>1</v>
      </c>
      <c r="G19" s="47">
        <v>6</v>
      </c>
      <c r="H19" s="46">
        <v>10</v>
      </c>
      <c r="I19" s="47">
        <v>0</v>
      </c>
      <c r="J19" s="46">
        <v>2</v>
      </c>
      <c r="K19" s="47">
        <v>3</v>
      </c>
      <c r="L19" s="46">
        <v>3</v>
      </c>
      <c r="M19" s="47">
        <v>0</v>
      </c>
      <c r="N19" s="46">
        <v>2</v>
      </c>
      <c r="O19" s="47">
        <v>1</v>
      </c>
      <c r="P19" s="48">
        <v>-4</v>
      </c>
    </row>
    <row r="20" ht="13.9" customHeight="1" spans="1:16">
      <c r="A20" s="45" t="s">
        <v>33</v>
      </c>
      <c r="B20" s="46">
        <f t="shared" si="1"/>
        <v>5</v>
      </c>
      <c r="C20" s="47">
        <v>1</v>
      </c>
      <c r="D20" s="46">
        <v>2</v>
      </c>
      <c r="E20" s="47">
        <v>1</v>
      </c>
      <c r="F20" s="46">
        <v>0</v>
      </c>
      <c r="G20" s="47">
        <v>2</v>
      </c>
      <c r="H20" s="46">
        <v>2</v>
      </c>
      <c r="I20" s="47">
        <v>0</v>
      </c>
      <c r="J20" s="46">
        <v>0</v>
      </c>
      <c r="K20" s="47">
        <v>1</v>
      </c>
      <c r="L20" s="46">
        <v>2</v>
      </c>
      <c r="M20" s="47">
        <v>0</v>
      </c>
      <c r="N20" s="46">
        <v>1</v>
      </c>
      <c r="O20" s="47">
        <v>2</v>
      </c>
      <c r="P20" s="48">
        <v>-11</v>
      </c>
    </row>
    <row r="21" ht="13.9" customHeight="1" spans="1:16">
      <c r="A21" s="45" t="s">
        <v>34</v>
      </c>
      <c r="B21" s="46">
        <f t="shared" si="1"/>
        <v>4</v>
      </c>
      <c r="C21" s="47">
        <v>3</v>
      </c>
      <c r="D21" s="46">
        <v>1</v>
      </c>
      <c r="E21" s="47">
        <v>3</v>
      </c>
      <c r="F21" s="46">
        <v>0</v>
      </c>
      <c r="G21" s="47">
        <v>2</v>
      </c>
      <c r="H21" s="46">
        <v>2</v>
      </c>
      <c r="I21" s="47">
        <v>0</v>
      </c>
      <c r="J21" s="46">
        <v>1</v>
      </c>
      <c r="K21" s="47">
        <v>0</v>
      </c>
      <c r="L21" s="46">
        <v>0</v>
      </c>
      <c r="M21" s="47">
        <v>0</v>
      </c>
      <c r="N21" s="46">
        <v>0</v>
      </c>
      <c r="O21" s="47">
        <v>0</v>
      </c>
      <c r="P21" s="48">
        <v>2</v>
      </c>
    </row>
    <row r="22" ht="13.9" customHeight="1" spans="1:16">
      <c r="A22" s="45" t="s">
        <v>35</v>
      </c>
      <c r="B22" s="46">
        <f t="shared" si="1"/>
        <v>2</v>
      </c>
      <c r="C22" s="47">
        <v>1</v>
      </c>
      <c r="D22" s="46">
        <v>3</v>
      </c>
      <c r="E22" s="47">
        <v>0</v>
      </c>
      <c r="F22" s="46">
        <v>0</v>
      </c>
      <c r="G22" s="47">
        <v>1</v>
      </c>
      <c r="H22" s="46">
        <v>2</v>
      </c>
      <c r="I22" s="47">
        <v>0</v>
      </c>
      <c r="J22" s="46">
        <v>0</v>
      </c>
      <c r="K22" s="47">
        <v>0</v>
      </c>
      <c r="L22" s="46">
        <v>0</v>
      </c>
      <c r="M22" s="47">
        <v>0</v>
      </c>
      <c r="N22" s="46">
        <v>0</v>
      </c>
      <c r="O22" s="47">
        <v>3</v>
      </c>
      <c r="P22" s="48">
        <v>8</v>
      </c>
    </row>
    <row r="23" ht="13.9" spans="1:16">
      <c r="A23" s="50" t="s">
        <v>36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2"/>
    </row>
    <row r="24" ht="13.9" customHeight="1" spans="1:16">
      <c r="A24" s="45" t="s">
        <v>16</v>
      </c>
      <c r="B24" s="46">
        <f>G24*2+I24+K24</f>
        <v>128</v>
      </c>
      <c r="C24" s="46">
        <f t="shared" ref="C24:O24" si="2">SUM(C4:C12)</f>
        <v>51</v>
      </c>
      <c r="D24" s="46">
        <f t="shared" si="2"/>
        <v>30</v>
      </c>
      <c r="E24" s="46">
        <f t="shared" si="2"/>
        <v>8</v>
      </c>
      <c r="F24" s="46">
        <f t="shared" si="2"/>
        <v>11</v>
      </c>
      <c r="G24" s="46">
        <f t="shared" si="2"/>
        <v>50</v>
      </c>
      <c r="H24" s="46">
        <f t="shared" si="2"/>
        <v>103</v>
      </c>
      <c r="I24" s="46">
        <f t="shared" si="2"/>
        <v>14</v>
      </c>
      <c r="J24" s="46">
        <f t="shared" si="2"/>
        <v>33</v>
      </c>
      <c r="K24" s="46">
        <f t="shared" si="2"/>
        <v>14</v>
      </c>
      <c r="L24" s="46">
        <f t="shared" si="2"/>
        <v>19</v>
      </c>
      <c r="M24" s="46">
        <f t="shared" si="2"/>
        <v>15</v>
      </c>
      <c r="N24" s="46">
        <f t="shared" si="2"/>
        <v>21</v>
      </c>
      <c r="O24" s="46">
        <f t="shared" si="2"/>
        <v>14</v>
      </c>
      <c r="P24" s="46"/>
    </row>
    <row r="25" ht="13.9" customHeight="1" spans="1:16">
      <c r="A25" s="53" t="s">
        <v>26</v>
      </c>
      <c r="B25" s="46">
        <f>G25*2+I25+K25</f>
        <v>139</v>
      </c>
      <c r="C25" s="54">
        <f t="shared" ref="C25:O25" si="3">SUM(C14:C22)</f>
        <v>44</v>
      </c>
      <c r="D25" s="54">
        <f t="shared" si="3"/>
        <v>39</v>
      </c>
      <c r="E25" s="54">
        <f t="shared" si="3"/>
        <v>13</v>
      </c>
      <c r="F25" s="54">
        <f t="shared" si="3"/>
        <v>6</v>
      </c>
      <c r="G25" s="54">
        <f t="shared" si="3"/>
        <v>49</v>
      </c>
      <c r="H25" s="54">
        <f t="shared" si="3"/>
        <v>87</v>
      </c>
      <c r="I25" s="54">
        <f t="shared" si="3"/>
        <v>5</v>
      </c>
      <c r="J25" s="54">
        <f t="shared" si="3"/>
        <v>13</v>
      </c>
      <c r="K25" s="54">
        <f t="shared" si="3"/>
        <v>36</v>
      </c>
      <c r="L25" s="54">
        <f t="shared" si="3"/>
        <v>39</v>
      </c>
      <c r="M25" s="54">
        <f t="shared" si="3"/>
        <v>5</v>
      </c>
      <c r="N25" s="54">
        <f t="shared" si="3"/>
        <v>22</v>
      </c>
      <c r="O25" s="54">
        <f t="shared" si="3"/>
        <v>12</v>
      </c>
      <c r="P25" s="54"/>
    </row>
    <row r="29" ht="13.9" customHeight="1" spans="1:16">
      <c r="A29" s="49" t="s">
        <v>37</v>
      </c>
      <c r="B29" s="55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40"/>
    </row>
    <row r="30" ht="13.9" customHeight="1" spans="1:16">
      <c r="A30" s="56" t="s">
        <v>16</v>
      </c>
      <c r="B30" s="57" t="s">
        <v>0</v>
      </c>
      <c r="C30" s="57" t="s">
        <v>1</v>
      </c>
      <c r="D30" s="57" t="s">
        <v>2</v>
      </c>
      <c r="E30" s="57" t="s">
        <v>3</v>
      </c>
      <c r="F30" s="57" t="s">
        <v>4</v>
      </c>
      <c r="G30" s="57" t="s">
        <v>5</v>
      </c>
      <c r="H30" s="57" t="s">
        <v>6</v>
      </c>
      <c r="I30" s="57" t="s">
        <v>7</v>
      </c>
      <c r="J30" s="57" t="s">
        <v>8</v>
      </c>
      <c r="K30" s="57" t="s">
        <v>9</v>
      </c>
      <c r="L30" s="57" t="s">
        <v>10</v>
      </c>
      <c r="M30" s="57" t="s">
        <v>11</v>
      </c>
      <c r="N30" s="57" t="s">
        <v>12</v>
      </c>
      <c r="O30" s="57" t="s">
        <v>13</v>
      </c>
      <c r="P30" s="58" t="s">
        <v>14</v>
      </c>
    </row>
    <row r="31" ht="13.9" customHeight="1" spans="1:16">
      <c r="A31" s="41" t="s">
        <v>17</v>
      </c>
      <c r="B31" s="46">
        <f t="shared" ref="B31:B39" si="4">G31*2+I31+K31</f>
        <v>24</v>
      </c>
      <c r="C31" s="43">
        <v>6</v>
      </c>
      <c r="D31" s="42">
        <v>3</v>
      </c>
      <c r="E31" s="43">
        <v>4</v>
      </c>
      <c r="F31" s="42">
        <v>0</v>
      </c>
      <c r="G31" s="43">
        <v>11</v>
      </c>
      <c r="H31" s="42">
        <v>16</v>
      </c>
      <c r="I31" s="43">
        <v>2</v>
      </c>
      <c r="J31" s="42">
        <v>6</v>
      </c>
      <c r="K31" s="43">
        <v>0</v>
      </c>
      <c r="L31" s="42">
        <v>2</v>
      </c>
      <c r="M31" s="43">
        <v>0</v>
      </c>
      <c r="N31" s="42">
        <v>6</v>
      </c>
      <c r="O31" s="43">
        <v>1</v>
      </c>
      <c r="P31" s="44">
        <v>16</v>
      </c>
    </row>
    <row r="32" ht="13.9" customHeight="1" spans="1:16">
      <c r="A32" s="45" t="s">
        <v>18</v>
      </c>
      <c r="B32" s="46">
        <f t="shared" si="4"/>
        <v>27</v>
      </c>
      <c r="C32" s="47">
        <v>5</v>
      </c>
      <c r="D32" s="46">
        <v>7</v>
      </c>
      <c r="E32" s="47">
        <v>2</v>
      </c>
      <c r="F32" s="46">
        <v>0</v>
      </c>
      <c r="G32" s="47">
        <v>11</v>
      </c>
      <c r="H32" s="46">
        <v>20</v>
      </c>
      <c r="I32" s="47">
        <v>3</v>
      </c>
      <c r="J32" s="46">
        <v>6</v>
      </c>
      <c r="K32" s="47">
        <v>2</v>
      </c>
      <c r="L32" s="46">
        <v>2</v>
      </c>
      <c r="M32" s="47">
        <v>1</v>
      </c>
      <c r="N32" s="46">
        <v>6</v>
      </c>
      <c r="O32" s="47">
        <v>0</v>
      </c>
      <c r="P32" s="48">
        <v>-3</v>
      </c>
    </row>
    <row r="33" ht="13.9" customHeight="1" spans="1:16">
      <c r="A33" s="45" t="s">
        <v>19</v>
      </c>
      <c r="B33" s="46">
        <f t="shared" si="4"/>
        <v>21</v>
      </c>
      <c r="C33" s="47">
        <v>8</v>
      </c>
      <c r="D33" s="46">
        <v>17</v>
      </c>
      <c r="E33" s="47">
        <v>1</v>
      </c>
      <c r="F33" s="46">
        <v>1</v>
      </c>
      <c r="G33" s="47">
        <v>8</v>
      </c>
      <c r="H33" s="46">
        <v>15</v>
      </c>
      <c r="I33" s="47">
        <v>1</v>
      </c>
      <c r="J33" s="46">
        <v>2</v>
      </c>
      <c r="K33" s="47">
        <v>4</v>
      </c>
      <c r="L33" s="46">
        <v>8</v>
      </c>
      <c r="M33" s="47">
        <v>2</v>
      </c>
      <c r="N33" s="46">
        <v>2</v>
      </c>
      <c r="O33" s="47">
        <v>4</v>
      </c>
      <c r="P33" s="48">
        <v>-4</v>
      </c>
    </row>
    <row r="34" ht="13.9" customHeight="1" spans="1:16">
      <c r="A34" s="45" t="s">
        <v>20</v>
      </c>
      <c r="B34" s="46">
        <f t="shared" si="4"/>
        <v>14</v>
      </c>
      <c r="C34" s="47">
        <v>13</v>
      </c>
      <c r="D34" s="46">
        <v>3</v>
      </c>
      <c r="E34" s="47">
        <v>2</v>
      </c>
      <c r="F34" s="46">
        <v>1</v>
      </c>
      <c r="G34" s="47">
        <v>7</v>
      </c>
      <c r="H34" s="46">
        <v>13</v>
      </c>
      <c r="I34" s="47">
        <v>0</v>
      </c>
      <c r="J34" s="46">
        <v>0</v>
      </c>
      <c r="K34" s="47">
        <v>0</v>
      </c>
      <c r="L34" s="46">
        <v>2</v>
      </c>
      <c r="M34" s="47">
        <v>6</v>
      </c>
      <c r="N34" s="46">
        <v>6</v>
      </c>
      <c r="O34" s="47">
        <v>1</v>
      </c>
      <c r="P34" s="48">
        <v>3</v>
      </c>
    </row>
    <row r="35" ht="13.9" customHeight="1" spans="1:16">
      <c r="A35" s="45" t="s">
        <v>21</v>
      </c>
      <c r="B35" s="46">
        <f t="shared" si="4"/>
        <v>29</v>
      </c>
      <c r="C35" s="47">
        <v>21</v>
      </c>
      <c r="D35" s="46">
        <v>7</v>
      </c>
      <c r="E35" s="47">
        <v>2</v>
      </c>
      <c r="F35" s="46">
        <v>3</v>
      </c>
      <c r="G35" s="47">
        <v>13</v>
      </c>
      <c r="H35" s="46">
        <v>23</v>
      </c>
      <c r="I35" s="47">
        <v>0</v>
      </c>
      <c r="J35" s="46">
        <v>0</v>
      </c>
      <c r="K35" s="47">
        <v>3</v>
      </c>
      <c r="L35" s="46">
        <v>4</v>
      </c>
      <c r="M35" s="47">
        <f>9</f>
        <v>9</v>
      </c>
      <c r="N35" s="46">
        <v>3</v>
      </c>
      <c r="O35" s="47">
        <v>1</v>
      </c>
      <c r="P35" s="48">
        <v>-10</v>
      </c>
    </row>
    <row r="36" ht="13.9" customHeight="1" spans="1:16">
      <c r="A36" s="45" t="s">
        <v>22</v>
      </c>
      <c r="B36" s="46">
        <f t="shared" si="4"/>
        <v>24</v>
      </c>
      <c r="C36" s="47">
        <v>3</v>
      </c>
      <c r="D36" s="46">
        <v>6</v>
      </c>
      <c r="E36" s="47">
        <v>2</v>
      </c>
      <c r="F36" s="46">
        <v>4</v>
      </c>
      <c r="G36" s="47">
        <v>9</v>
      </c>
      <c r="H36" s="46">
        <v>26</v>
      </c>
      <c r="I36" s="47">
        <v>1</v>
      </c>
      <c r="J36" s="46">
        <v>11</v>
      </c>
      <c r="K36" s="47">
        <v>5</v>
      </c>
      <c r="L36" s="46">
        <v>6</v>
      </c>
      <c r="M36" s="47">
        <v>1</v>
      </c>
      <c r="N36" s="46">
        <v>2</v>
      </c>
      <c r="O36" s="47">
        <v>3</v>
      </c>
      <c r="P36" s="48">
        <v>-9</v>
      </c>
    </row>
    <row r="37" ht="13.9" customHeight="1" spans="1:16">
      <c r="A37" s="45" t="s">
        <v>23</v>
      </c>
      <c r="B37" s="46">
        <f t="shared" si="4"/>
        <v>26</v>
      </c>
      <c r="C37" s="47">
        <v>1</v>
      </c>
      <c r="D37" s="46">
        <v>6</v>
      </c>
      <c r="E37" s="47">
        <v>0</v>
      </c>
      <c r="F37" s="46">
        <v>5</v>
      </c>
      <c r="G37" s="47">
        <v>10</v>
      </c>
      <c r="H37" s="46">
        <v>19</v>
      </c>
      <c r="I37" s="47">
        <v>2</v>
      </c>
      <c r="J37" s="46">
        <v>5</v>
      </c>
      <c r="K37" s="47">
        <v>4</v>
      </c>
      <c r="L37" s="46">
        <v>6</v>
      </c>
      <c r="M37" s="47">
        <v>1</v>
      </c>
      <c r="N37" s="46">
        <v>6</v>
      </c>
      <c r="O37" s="47">
        <v>5</v>
      </c>
      <c r="P37" s="48">
        <v>-10</v>
      </c>
    </row>
    <row r="38" ht="13.9" customHeight="1" spans="1:16">
      <c r="A38" s="45" t="s">
        <v>24</v>
      </c>
      <c r="B38" s="46">
        <f t="shared" si="4"/>
        <v>18</v>
      </c>
      <c r="C38" s="47">
        <v>2</v>
      </c>
      <c r="D38" s="46">
        <v>2</v>
      </c>
      <c r="E38" s="47">
        <v>0</v>
      </c>
      <c r="F38" s="46">
        <v>1</v>
      </c>
      <c r="G38" s="47">
        <v>6</v>
      </c>
      <c r="H38" s="46">
        <v>11</v>
      </c>
      <c r="I38" s="47">
        <v>2</v>
      </c>
      <c r="J38" s="46">
        <v>5</v>
      </c>
      <c r="K38" s="47">
        <v>4</v>
      </c>
      <c r="L38" s="46">
        <v>4</v>
      </c>
      <c r="M38" s="47">
        <v>1</v>
      </c>
      <c r="N38" s="46">
        <v>4</v>
      </c>
      <c r="O38" s="47">
        <v>1</v>
      </c>
      <c r="P38" s="48">
        <v>0</v>
      </c>
    </row>
    <row r="39" ht="13.9" customHeight="1" spans="1:16">
      <c r="A39" s="45" t="s">
        <v>25</v>
      </c>
      <c r="B39" s="46">
        <f t="shared" si="4"/>
        <v>3</v>
      </c>
      <c r="C39" s="47">
        <v>1</v>
      </c>
      <c r="D39" s="46">
        <v>0</v>
      </c>
      <c r="E39" s="47">
        <v>0</v>
      </c>
      <c r="F39" s="46">
        <v>1</v>
      </c>
      <c r="G39" s="47">
        <v>1</v>
      </c>
      <c r="H39" s="46">
        <v>2</v>
      </c>
      <c r="I39" s="47">
        <v>1</v>
      </c>
      <c r="J39" s="46">
        <v>2</v>
      </c>
      <c r="K39" s="47">
        <v>0</v>
      </c>
      <c r="L39" s="46">
        <v>0</v>
      </c>
      <c r="M39" s="47">
        <v>0</v>
      </c>
      <c r="N39" s="46">
        <v>2</v>
      </c>
      <c r="O39" s="47">
        <v>1</v>
      </c>
      <c r="P39" s="48">
        <v>-10</v>
      </c>
    </row>
    <row r="40" ht="13.9" customHeight="1" spans="1:16">
      <c r="A40" s="49" t="s">
        <v>26</v>
      </c>
      <c r="B40" s="39" t="s">
        <v>0</v>
      </c>
      <c r="C40" s="39" t="s">
        <v>1</v>
      </c>
      <c r="D40" s="39" t="s">
        <v>2</v>
      </c>
      <c r="E40" s="39" t="s">
        <v>3</v>
      </c>
      <c r="F40" s="39" t="s">
        <v>4</v>
      </c>
      <c r="G40" s="39" t="s">
        <v>5</v>
      </c>
      <c r="H40" s="39" t="s">
        <v>6</v>
      </c>
      <c r="I40" s="39" t="s">
        <v>7</v>
      </c>
      <c r="J40" s="39" t="s">
        <v>8</v>
      </c>
      <c r="K40" s="39" t="s">
        <v>9</v>
      </c>
      <c r="L40" s="39" t="s">
        <v>10</v>
      </c>
      <c r="M40" s="39" t="s">
        <v>11</v>
      </c>
      <c r="N40" s="39" t="s">
        <v>12</v>
      </c>
      <c r="O40" s="39" t="s">
        <v>13</v>
      </c>
      <c r="P40" s="40" t="s">
        <v>14</v>
      </c>
    </row>
    <row r="41" ht="13.9" customHeight="1" spans="1:16">
      <c r="A41" s="41" t="s">
        <v>27</v>
      </c>
      <c r="B41" s="46">
        <f t="shared" ref="B41:B49" si="5">G41*2+I41+K41</f>
        <v>76</v>
      </c>
      <c r="C41" s="43">
        <v>5</v>
      </c>
      <c r="D41" s="42">
        <v>5</v>
      </c>
      <c r="E41" s="43">
        <v>3</v>
      </c>
      <c r="F41" s="42">
        <v>7</v>
      </c>
      <c r="G41" s="43">
        <v>24</v>
      </c>
      <c r="H41" s="42">
        <v>40</v>
      </c>
      <c r="I41" s="43">
        <v>0</v>
      </c>
      <c r="J41" s="42">
        <v>0</v>
      </c>
      <c r="K41" s="43">
        <v>28</v>
      </c>
      <c r="L41" s="42">
        <v>28</v>
      </c>
      <c r="M41" s="43">
        <v>1</v>
      </c>
      <c r="N41" s="42">
        <v>5</v>
      </c>
      <c r="O41" s="43">
        <v>4</v>
      </c>
      <c r="P41" s="44">
        <v>20</v>
      </c>
    </row>
    <row r="42" ht="13.9" customHeight="1" spans="1:16">
      <c r="A42" s="45" t="s">
        <v>28</v>
      </c>
      <c r="B42" s="46">
        <f t="shared" si="5"/>
        <v>29</v>
      </c>
      <c r="C42" s="47">
        <v>5</v>
      </c>
      <c r="D42" s="46">
        <v>13</v>
      </c>
      <c r="E42" s="47">
        <v>3</v>
      </c>
      <c r="F42" s="46">
        <v>2</v>
      </c>
      <c r="G42" s="47">
        <v>10</v>
      </c>
      <c r="H42" s="46">
        <v>30</v>
      </c>
      <c r="I42" s="47">
        <v>1</v>
      </c>
      <c r="J42" s="46">
        <v>2</v>
      </c>
      <c r="K42" s="47">
        <v>8</v>
      </c>
      <c r="L42" s="46">
        <v>11</v>
      </c>
      <c r="M42" s="47">
        <v>1</v>
      </c>
      <c r="N42" s="46">
        <v>6</v>
      </c>
      <c r="O42" s="47">
        <v>4</v>
      </c>
      <c r="P42" s="48">
        <v>12</v>
      </c>
    </row>
    <row r="43" ht="13.9" customHeight="1" spans="1:16">
      <c r="A43" s="45" t="s">
        <v>29</v>
      </c>
      <c r="B43" s="46">
        <f t="shared" si="5"/>
        <v>11</v>
      </c>
      <c r="C43" s="47">
        <v>13</v>
      </c>
      <c r="D43" s="46">
        <v>7</v>
      </c>
      <c r="E43" s="47">
        <v>3</v>
      </c>
      <c r="F43" s="46">
        <v>1</v>
      </c>
      <c r="G43" s="47">
        <v>4</v>
      </c>
      <c r="H43" s="46">
        <v>9</v>
      </c>
      <c r="I43" s="47">
        <v>1</v>
      </c>
      <c r="J43" s="46">
        <v>3</v>
      </c>
      <c r="K43" s="47">
        <v>2</v>
      </c>
      <c r="L43" s="46">
        <v>3</v>
      </c>
      <c r="M43" s="47">
        <v>0</v>
      </c>
      <c r="N43" s="46">
        <v>6</v>
      </c>
      <c r="O43" s="47">
        <v>0</v>
      </c>
      <c r="P43" s="48">
        <v>0</v>
      </c>
    </row>
    <row r="44" ht="13.9" customHeight="1" spans="1:16">
      <c r="A44" s="45" t="s">
        <v>30</v>
      </c>
      <c r="B44" s="46">
        <f t="shared" si="5"/>
        <v>25</v>
      </c>
      <c r="C44" s="47">
        <v>16</v>
      </c>
      <c r="D44" s="46">
        <v>8</v>
      </c>
      <c r="E44" s="47">
        <v>5</v>
      </c>
      <c r="F44" s="46">
        <v>1</v>
      </c>
      <c r="G44" s="47">
        <v>10</v>
      </c>
      <c r="H44" s="46">
        <v>12</v>
      </c>
      <c r="I44" s="47">
        <v>0</v>
      </c>
      <c r="J44" s="46">
        <v>0</v>
      </c>
      <c r="K44" s="47">
        <v>5</v>
      </c>
      <c r="L44" s="46">
        <v>6</v>
      </c>
      <c r="M44" s="47">
        <v>8</v>
      </c>
      <c r="N44" s="46">
        <v>1</v>
      </c>
      <c r="O44" s="47">
        <v>4</v>
      </c>
      <c r="P44" s="48">
        <v>7</v>
      </c>
    </row>
    <row r="45" ht="13.9" spans="1:16">
      <c r="A45" s="45" t="s">
        <v>31</v>
      </c>
      <c r="B45" s="46">
        <f t="shared" si="5"/>
        <v>19</v>
      </c>
      <c r="C45" s="47">
        <v>9</v>
      </c>
      <c r="D45" s="46">
        <v>1</v>
      </c>
      <c r="E45" s="47">
        <v>6</v>
      </c>
      <c r="F45" s="46">
        <v>0</v>
      </c>
      <c r="G45" s="47">
        <v>9</v>
      </c>
      <c r="H45" s="46">
        <v>12</v>
      </c>
      <c r="I45" s="47">
        <v>0</v>
      </c>
      <c r="J45" s="46">
        <v>0</v>
      </c>
      <c r="K45" s="47">
        <v>1</v>
      </c>
      <c r="L45" s="46">
        <v>4</v>
      </c>
      <c r="M45" s="47">
        <v>5</v>
      </c>
      <c r="N45" s="46">
        <v>4</v>
      </c>
      <c r="O45" s="47">
        <v>5</v>
      </c>
      <c r="P45" s="48">
        <v>-1</v>
      </c>
    </row>
    <row r="46" ht="13.9" customHeight="1" spans="1:16">
      <c r="A46" s="45" t="s">
        <v>32</v>
      </c>
      <c r="B46" s="46">
        <f t="shared" si="5"/>
        <v>9</v>
      </c>
      <c r="C46" s="47">
        <v>6</v>
      </c>
      <c r="D46" s="46">
        <v>4</v>
      </c>
      <c r="E46" s="47">
        <v>3</v>
      </c>
      <c r="F46" s="46">
        <v>0</v>
      </c>
      <c r="G46" s="47">
        <v>4</v>
      </c>
      <c r="H46" s="46">
        <v>13</v>
      </c>
      <c r="I46" s="47">
        <v>1</v>
      </c>
      <c r="J46" s="46">
        <v>4</v>
      </c>
      <c r="K46" s="47">
        <v>0</v>
      </c>
      <c r="L46" s="46">
        <v>0</v>
      </c>
      <c r="M46" s="47">
        <v>1</v>
      </c>
      <c r="N46" s="46">
        <v>4</v>
      </c>
      <c r="O46" s="47">
        <v>0</v>
      </c>
      <c r="P46" s="48">
        <v>-17</v>
      </c>
    </row>
    <row r="47" ht="13.9" spans="1:16">
      <c r="A47" s="45" t="s">
        <v>33</v>
      </c>
      <c r="B47" s="46">
        <f t="shared" si="5"/>
        <v>11</v>
      </c>
      <c r="C47" s="47">
        <v>6</v>
      </c>
      <c r="D47" s="46">
        <v>2</v>
      </c>
      <c r="E47" s="47">
        <v>0</v>
      </c>
      <c r="F47" s="46">
        <v>0</v>
      </c>
      <c r="G47" s="47">
        <v>4</v>
      </c>
      <c r="H47" s="46">
        <v>10</v>
      </c>
      <c r="I47" s="47">
        <v>0</v>
      </c>
      <c r="J47" s="46">
        <v>0</v>
      </c>
      <c r="K47" s="47">
        <v>3</v>
      </c>
      <c r="L47" s="46">
        <v>3</v>
      </c>
      <c r="M47" s="47">
        <v>1</v>
      </c>
      <c r="N47" s="46">
        <v>4</v>
      </c>
      <c r="O47" s="47">
        <v>1</v>
      </c>
      <c r="P47" s="48">
        <v>-6</v>
      </c>
    </row>
    <row r="48" ht="13.9" customHeight="1" spans="1:16">
      <c r="A48" s="45" t="s">
        <v>34</v>
      </c>
      <c r="B48" s="46">
        <f t="shared" si="5"/>
        <v>4</v>
      </c>
      <c r="C48" s="47">
        <v>3</v>
      </c>
      <c r="D48" s="46">
        <v>1</v>
      </c>
      <c r="E48" s="47">
        <v>1</v>
      </c>
      <c r="F48" s="46">
        <v>0</v>
      </c>
      <c r="G48" s="47">
        <v>1</v>
      </c>
      <c r="H48" s="46">
        <v>1</v>
      </c>
      <c r="I48" s="47">
        <v>0</v>
      </c>
      <c r="J48" s="46">
        <v>0</v>
      </c>
      <c r="K48" s="47">
        <v>2</v>
      </c>
      <c r="L48" s="46">
        <v>3</v>
      </c>
      <c r="M48" s="47">
        <v>0</v>
      </c>
      <c r="N48" s="46">
        <v>1</v>
      </c>
      <c r="O48" s="47">
        <v>0</v>
      </c>
      <c r="P48" s="48">
        <v>5</v>
      </c>
    </row>
    <row r="49" ht="13.9" spans="1:16">
      <c r="A49" s="53" t="s">
        <v>35</v>
      </c>
      <c r="B49" s="46">
        <f t="shared" si="5"/>
        <v>9</v>
      </c>
      <c r="C49" s="59">
        <v>0</v>
      </c>
      <c r="D49" s="54">
        <v>1</v>
      </c>
      <c r="E49" s="59">
        <v>0</v>
      </c>
      <c r="F49" s="54">
        <v>1</v>
      </c>
      <c r="G49" s="59">
        <v>3</v>
      </c>
      <c r="H49" s="54">
        <v>3</v>
      </c>
      <c r="I49" s="59">
        <v>0</v>
      </c>
      <c r="J49" s="54">
        <v>0</v>
      </c>
      <c r="K49" s="59">
        <v>3</v>
      </c>
      <c r="L49" s="54">
        <v>3</v>
      </c>
      <c r="M49" s="59">
        <v>0</v>
      </c>
      <c r="N49" s="54">
        <v>1</v>
      </c>
      <c r="O49" s="59">
        <v>0</v>
      </c>
      <c r="P49" s="60">
        <v>1</v>
      </c>
    </row>
    <row r="50" ht="13.85" spans="1:16">
      <c r="A50" s="50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2"/>
    </row>
    <row r="51" ht="13.9" customHeight="1" spans="1:16">
      <c r="A51" s="45" t="s">
        <v>16</v>
      </c>
      <c r="B51" s="46">
        <f>G51*2+I51+K51</f>
        <v>193</v>
      </c>
      <c r="C51" s="46">
        <v>65</v>
      </c>
      <c r="D51" s="46">
        <v>53</v>
      </c>
      <c r="E51" s="46">
        <v>13</v>
      </c>
      <c r="F51" s="46">
        <v>17</v>
      </c>
      <c r="G51" s="46">
        <v>79</v>
      </c>
      <c r="H51" s="46">
        <v>153</v>
      </c>
      <c r="I51" s="46">
        <f>SUM(I31:I39)</f>
        <v>12</v>
      </c>
      <c r="J51" s="46">
        <v>36</v>
      </c>
      <c r="K51" s="46">
        <v>23</v>
      </c>
      <c r="L51" s="46">
        <v>36</v>
      </c>
      <c r="M51" s="46">
        <v>23</v>
      </c>
      <c r="N51" s="46">
        <v>38</v>
      </c>
      <c r="O51" s="46">
        <f>SUM(O31:O39)</f>
        <v>17</v>
      </c>
      <c r="P51" s="46"/>
    </row>
    <row r="52" ht="13.9" customHeight="1" spans="1:16">
      <c r="A52" s="53" t="s">
        <v>26</v>
      </c>
      <c r="B52" s="46">
        <f>G52*2+I52+K52</f>
        <v>197</v>
      </c>
      <c r="C52" s="54">
        <v>68</v>
      </c>
      <c r="D52" s="54">
        <v>46</v>
      </c>
      <c r="E52" s="54">
        <v>25</v>
      </c>
      <c r="F52" s="54">
        <f>SUM(F41:F49)</f>
        <v>12</v>
      </c>
      <c r="G52" s="54">
        <v>71</v>
      </c>
      <c r="H52" s="54">
        <v>134</v>
      </c>
      <c r="I52" s="54">
        <v>3</v>
      </c>
      <c r="J52" s="54">
        <v>9</v>
      </c>
      <c r="K52" s="54">
        <v>52</v>
      </c>
      <c r="L52" s="54">
        <v>61</v>
      </c>
      <c r="M52" s="54">
        <v>19</v>
      </c>
      <c r="N52" s="54">
        <v>32</v>
      </c>
      <c r="O52" s="54">
        <v>23</v>
      </c>
      <c r="P52" s="54"/>
    </row>
    <row r="56" ht="13.9" customHeight="1" spans="1:16">
      <c r="A56" s="49" t="s">
        <v>38</v>
      </c>
      <c r="B56" s="55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40"/>
    </row>
    <row r="57" ht="13.9" customHeight="1" spans="1:16">
      <c r="A57" s="49" t="s">
        <v>16</v>
      </c>
      <c r="B57" s="39" t="s">
        <v>0</v>
      </c>
      <c r="C57" s="39" t="s">
        <v>1</v>
      </c>
      <c r="D57" s="39" t="s">
        <v>2</v>
      </c>
      <c r="E57" s="39" t="s">
        <v>3</v>
      </c>
      <c r="F57" s="39" t="s">
        <v>4</v>
      </c>
      <c r="G57" s="39" t="s">
        <v>5</v>
      </c>
      <c r="H57" s="39" t="s">
        <v>6</v>
      </c>
      <c r="I57" s="39" t="s">
        <v>7</v>
      </c>
      <c r="J57" s="39" t="s">
        <v>8</v>
      </c>
      <c r="K57" s="39" t="s">
        <v>9</v>
      </c>
      <c r="L57" s="39" t="s">
        <v>10</v>
      </c>
      <c r="M57" s="39" t="s">
        <v>11</v>
      </c>
      <c r="N57" s="39" t="s">
        <v>12</v>
      </c>
      <c r="O57" s="39" t="s">
        <v>13</v>
      </c>
      <c r="P57" s="40" t="s">
        <v>14</v>
      </c>
    </row>
    <row r="58" ht="13.9" spans="1:16">
      <c r="A58" s="41" t="s">
        <v>17</v>
      </c>
      <c r="B58" s="46">
        <f t="shared" ref="B58:B66" si="6">G58*2+I58+K58</f>
        <v>22</v>
      </c>
      <c r="C58" s="43">
        <v>10</v>
      </c>
      <c r="D58" s="42">
        <v>15</v>
      </c>
      <c r="E58" s="43">
        <v>5</v>
      </c>
      <c r="F58" s="42">
        <v>3</v>
      </c>
      <c r="G58" s="43">
        <v>8</v>
      </c>
      <c r="H58" s="42">
        <v>25</v>
      </c>
      <c r="I58" s="43">
        <v>1</v>
      </c>
      <c r="J58" s="42">
        <v>7</v>
      </c>
      <c r="K58" s="43">
        <v>5</v>
      </c>
      <c r="L58" s="42">
        <v>10</v>
      </c>
      <c r="M58" s="43">
        <v>1</v>
      </c>
      <c r="N58" s="42">
        <v>6</v>
      </c>
      <c r="O58" s="43">
        <v>6</v>
      </c>
      <c r="P58" s="44">
        <v>1</v>
      </c>
    </row>
    <row r="59" ht="13.9" spans="1:16">
      <c r="A59" s="45" t="s">
        <v>18</v>
      </c>
      <c r="B59" s="46">
        <f t="shared" si="6"/>
        <v>34</v>
      </c>
      <c r="C59" s="47">
        <v>4</v>
      </c>
      <c r="D59" s="46">
        <v>6</v>
      </c>
      <c r="E59" s="47">
        <v>5</v>
      </c>
      <c r="F59" s="46">
        <v>1</v>
      </c>
      <c r="G59" s="47">
        <v>14</v>
      </c>
      <c r="H59" s="46">
        <v>21</v>
      </c>
      <c r="I59" s="47">
        <v>5</v>
      </c>
      <c r="J59" s="46">
        <v>9</v>
      </c>
      <c r="K59" s="47">
        <v>1</v>
      </c>
      <c r="L59" s="46">
        <v>2</v>
      </c>
      <c r="M59" s="47">
        <v>1</v>
      </c>
      <c r="N59" s="46">
        <v>6</v>
      </c>
      <c r="O59" s="47">
        <v>0</v>
      </c>
      <c r="P59" s="48">
        <v>3</v>
      </c>
    </row>
    <row r="60" ht="13.9" spans="1:16">
      <c r="A60" s="45" t="s">
        <v>19</v>
      </c>
      <c r="B60" s="46">
        <f t="shared" si="6"/>
        <v>38</v>
      </c>
      <c r="C60" s="47">
        <v>6</v>
      </c>
      <c r="D60" s="46">
        <v>9</v>
      </c>
      <c r="E60" s="47">
        <v>0</v>
      </c>
      <c r="F60" s="46">
        <v>4</v>
      </c>
      <c r="G60" s="47">
        <v>14</v>
      </c>
      <c r="H60" s="46">
        <v>26</v>
      </c>
      <c r="I60" s="47">
        <v>1</v>
      </c>
      <c r="J60" s="46">
        <v>4</v>
      </c>
      <c r="K60" s="47">
        <v>9</v>
      </c>
      <c r="L60" s="46">
        <v>10</v>
      </c>
      <c r="M60" s="47">
        <v>2</v>
      </c>
      <c r="N60" s="46">
        <v>6</v>
      </c>
      <c r="O60" s="47">
        <v>2</v>
      </c>
      <c r="P60" s="48">
        <v>3</v>
      </c>
    </row>
    <row r="61" ht="13.9" spans="1:16">
      <c r="A61" s="45" t="s">
        <v>20</v>
      </c>
      <c r="B61" s="46">
        <f t="shared" si="6"/>
        <v>17</v>
      </c>
      <c r="C61" s="47">
        <v>14</v>
      </c>
      <c r="D61" s="46">
        <v>3</v>
      </c>
      <c r="E61" s="47">
        <v>2</v>
      </c>
      <c r="F61" s="46">
        <v>4</v>
      </c>
      <c r="G61" s="47">
        <v>8</v>
      </c>
      <c r="H61" s="46">
        <v>19</v>
      </c>
      <c r="I61" s="47">
        <v>0</v>
      </c>
      <c r="J61" s="46">
        <v>1</v>
      </c>
      <c r="K61" s="47">
        <v>1</v>
      </c>
      <c r="L61" s="46">
        <v>1</v>
      </c>
      <c r="M61" s="47">
        <v>2</v>
      </c>
      <c r="N61" s="46">
        <v>3</v>
      </c>
      <c r="O61" s="47">
        <v>0</v>
      </c>
      <c r="P61" s="48">
        <v>7</v>
      </c>
    </row>
    <row r="62" ht="13.9" spans="1:16">
      <c r="A62" s="45" t="s">
        <v>21</v>
      </c>
      <c r="B62" s="46">
        <f t="shared" si="6"/>
        <v>30</v>
      </c>
      <c r="C62" s="47">
        <v>26</v>
      </c>
      <c r="D62" s="46">
        <v>3</v>
      </c>
      <c r="E62" s="47">
        <v>1</v>
      </c>
      <c r="F62" s="46">
        <v>4</v>
      </c>
      <c r="G62" s="47">
        <v>15</v>
      </c>
      <c r="H62" s="46">
        <v>17</v>
      </c>
      <c r="I62" s="47">
        <v>0</v>
      </c>
      <c r="J62" s="46">
        <v>0</v>
      </c>
      <c r="K62" s="47">
        <v>0</v>
      </c>
      <c r="L62" s="46">
        <v>0</v>
      </c>
      <c r="M62" s="47">
        <v>14</v>
      </c>
      <c r="N62" s="46">
        <v>5</v>
      </c>
      <c r="O62" s="47">
        <v>0</v>
      </c>
      <c r="P62" s="48">
        <v>12</v>
      </c>
    </row>
    <row r="63" ht="13.9" spans="1:16">
      <c r="A63" s="45" t="s">
        <v>22</v>
      </c>
      <c r="B63" s="46">
        <f t="shared" si="6"/>
        <v>27</v>
      </c>
      <c r="C63" s="47">
        <v>3</v>
      </c>
      <c r="D63" s="46">
        <v>4</v>
      </c>
      <c r="E63" s="47">
        <v>0</v>
      </c>
      <c r="F63" s="46">
        <v>1</v>
      </c>
      <c r="G63" s="47">
        <v>11</v>
      </c>
      <c r="H63" s="46">
        <v>23</v>
      </c>
      <c r="I63" s="47">
        <v>1</v>
      </c>
      <c r="J63" s="46">
        <v>7</v>
      </c>
      <c r="K63" s="47">
        <v>4</v>
      </c>
      <c r="L63" s="46">
        <v>4</v>
      </c>
      <c r="M63" s="47">
        <v>1</v>
      </c>
      <c r="N63" s="46">
        <v>2</v>
      </c>
      <c r="O63" s="47">
        <v>2</v>
      </c>
      <c r="P63" s="48">
        <v>11</v>
      </c>
    </row>
    <row r="64" ht="13.9" spans="1:16">
      <c r="A64" s="45" t="s">
        <v>23</v>
      </c>
      <c r="B64" s="46">
        <f t="shared" si="6"/>
        <v>9</v>
      </c>
      <c r="C64" s="47">
        <v>2</v>
      </c>
      <c r="D64" s="46">
        <v>4</v>
      </c>
      <c r="E64" s="47">
        <v>0</v>
      </c>
      <c r="F64" s="46">
        <v>0</v>
      </c>
      <c r="G64" s="47">
        <v>4</v>
      </c>
      <c r="H64" s="46">
        <v>8</v>
      </c>
      <c r="I64" s="47">
        <v>1</v>
      </c>
      <c r="J64" s="46">
        <v>2</v>
      </c>
      <c r="K64" s="47">
        <v>0</v>
      </c>
      <c r="L64" s="46">
        <v>0</v>
      </c>
      <c r="M64" s="47">
        <v>0</v>
      </c>
      <c r="N64" s="46">
        <v>1</v>
      </c>
      <c r="O64" s="47">
        <v>2</v>
      </c>
      <c r="P64" s="48">
        <v>10</v>
      </c>
    </row>
    <row r="65" ht="13.9" spans="1:16">
      <c r="A65" s="45" t="s">
        <v>24</v>
      </c>
      <c r="B65" s="46">
        <f t="shared" si="6"/>
        <v>4</v>
      </c>
      <c r="C65" s="47">
        <v>3</v>
      </c>
      <c r="D65" s="46">
        <v>2</v>
      </c>
      <c r="E65" s="47">
        <v>1</v>
      </c>
      <c r="F65" s="46">
        <v>0</v>
      </c>
      <c r="G65" s="47">
        <v>2</v>
      </c>
      <c r="H65" s="46">
        <v>5</v>
      </c>
      <c r="I65" s="47">
        <v>0</v>
      </c>
      <c r="J65" s="46">
        <v>0</v>
      </c>
      <c r="K65" s="47">
        <v>0</v>
      </c>
      <c r="L65" s="46">
        <v>0</v>
      </c>
      <c r="M65" s="47">
        <v>0</v>
      </c>
      <c r="N65" s="46">
        <v>0</v>
      </c>
      <c r="O65" s="47">
        <v>0</v>
      </c>
      <c r="P65" s="48">
        <v>-2</v>
      </c>
    </row>
    <row r="66" ht="13.9" spans="1:16">
      <c r="A66" s="45" t="s">
        <v>25</v>
      </c>
      <c r="B66" s="46">
        <f t="shared" si="6"/>
        <v>8</v>
      </c>
      <c r="C66" s="47">
        <v>3</v>
      </c>
      <c r="D66" s="46">
        <v>1</v>
      </c>
      <c r="E66" s="47">
        <v>2</v>
      </c>
      <c r="F66" s="46">
        <v>0</v>
      </c>
      <c r="G66" s="47">
        <v>3</v>
      </c>
      <c r="H66" s="46">
        <v>6</v>
      </c>
      <c r="I66" s="47">
        <v>2</v>
      </c>
      <c r="J66" s="46">
        <v>2</v>
      </c>
      <c r="K66" s="47">
        <v>0</v>
      </c>
      <c r="L66" s="46">
        <v>0</v>
      </c>
      <c r="M66" s="47">
        <v>1</v>
      </c>
      <c r="N66" s="46">
        <v>2</v>
      </c>
      <c r="O66" s="47">
        <v>0</v>
      </c>
      <c r="P66" s="48">
        <v>-5</v>
      </c>
    </row>
    <row r="67" ht="13.9" customHeight="1" spans="1:16">
      <c r="A67" s="49" t="s">
        <v>26</v>
      </c>
      <c r="B67" s="39" t="s">
        <v>0</v>
      </c>
      <c r="C67" s="39" t="s">
        <v>1</v>
      </c>
      <c r="D67" s="39" t="s">
        <v>2</v>
      </c>
      <c r="E67" s="39" t="s">
        <v>3</v>
      </c>
      <c r="F67" s="39" t="s">
        <v>4</v>
      </c>
      <c r="G67" s="39" t="s">
        <v>5</v>
      </c>
      <c r="H67" s="39" t="s">
        <v>6</v>
      </c>
      <c r="I67" s="39" t="s">
        <v>7</v>
      </c>
      <c r="J67" s="39" t="s">
        <v>8</v>
      </c>
      <c r="K67" s="39" t="s">
        <v>9</v>
      </c>
      <c r="L67" s="39" t="s">
        <v>10</v>
      </c>
      <c r="M67" s="39" t="s">
        <v>11</v>
      </c>
      <c r="N67" s="39" t="s">
        <v>12</v>
      </c>
      <c r="O67" s="39" t="s">
        <v>13</v>
      </c>
      <c r="P67" s="40" t="s">
        <v>14</v>
      </c>
    </row>
    <row r="68" ht="13.9" spans="1:16">
      <c r="A68" s="41" t="s">
        <v>27</v>
      </c>
      <c r="B68" s="46">
        <f t="shared" ref="B68:B76" si="7">G68*2+I68+K68</f>
        <v>29</v>
      </c>
      <c r="C68" s="43">
        <v>9</v>
      </c>
      <c r="D68" s="42">
        <v>9</v>
      </c>
      <c r="E68" s="43">
        <v>4</v>
      </c>
      <c r="F68" s="42">
        <v>3</v>
      </c>
      <c r="G68" s="43">
        <v>8</v>
      </c>
      <c r="H68" s="42">
        <v>18</v>
      </c>
      <c r="I68" s="43">
        <v>0</v>
      </c>
      <c r="J68" s="42">
        <v>1</v>
      </c>
      <c r="K68" s="43">
        <v>13</v>
      </c>
      <c r="L68" s="42">
        <v>15</v>
      </c>
      <c r="M68" s="43">
        <v>2</v>
      </c>
      <c r="N68" s="42">
        <v>6</v>
      </c>
      <c r="O68" s="43">
        <v>5</v>
      </c>
      <c r="P68" s="44">
        <v>10</v>
      </c>
    </row>
    <row r="69" ht="13.9" spans="1:16">
      <c r="A69" s="45" t="s">
        <v>28</v>
      </c>
      <c r="B69" s="46">
        <f t="shared" si="7"/>
        <v>42</v>
      </c>
      <c r="C69" s="47">
        <v>3</v>
      </c>
      <c r="D69" s="46">
        <v>1</v>
      </c>
      <c r="E69" s="47">
        <v>1</v>
      </c>
      <c r="F69" s="46">
        <v>2</v>
      </c>
      <c r="G69" s="47">
        <v>17</v>
      </c>
      <c r="H69" s="46">
        <v>39</v>
      </c>
      <c r="I69" s="47">
        <v>0</v>
      </c>
      <c r="J69" s="46">
        <v>0</v>
      </c>
      <c r="K69" s="47">
        <v>8</v>
      </c>
      <c r="L69" s="46">
        <v>9</v>
      </c>
      <c r="M69" s="47">
        <v>0</v>
      </c>
      <c r="N69" s="46">
        <v>4</v>
      </c>
      <c r="O69" s="47">
        <v>1</v>
      </c>
      <c r="P69" s="48">
        <v>-7</v>
      </c>
    </row>
    <row r="70" ht="13.9" spans="1:16">
      <c r="A70" s="45" t="s">
        <v>29</v>
      </c>
      <c r="B70" s="46">
        <f t="shared" si="7"/>
        <v>55</v>
      </c>
      <c r="C70" s="47">
        <v>6</v>
      </c>
      <c r="D70" s="46">
        <v>4</v>
      </c>
      <c r="E70" s="47">
        <v>3</v>
      </c>
      <c r="F70" s="46">
        <v>2</v>
      </c>
      <c r="G70" s="47">
        <v>19</v>
      </c>
      <c r="H70" s="46">
        <v>26</v>
      </c>
      <c r="I70" s="47">
        <v>7</v>
      </c>
      <c r="J70" s="46">
        <v>11</v>
      </c>
      <c r="K70" s="47">
        <v>10</v>
      </c>
      <c r="L70" s="46">
        <v>11</v>
      </c>
      <c r="M70" s="47">
        <v>0</v>
      </c>
      <c r="N70" s="46">
        <v>3</v>
      </c>
      <c r="O70" s="47">
        <v>1</v>
      </c>
      <c r="P70" s="48">
        <v>-11</v>
      </c>
    </row>
    <row r="71" ht="13.9" spans="1:16">
      <c r="A71" s="45" t="s">
        <v>30</v>
      </c>
      <c r="B71" s="46">
        <f t="shared" si="7"/>
        <v>15</v>
      </c>
      <c r="C71" s="47">
        <v>13</v>
      </c>
      <c r="D71" s="46">
        <v>3</v>
      </c>
      <c r="E71" s="47">
        <v>5</v>
      </c>
      <c r="F71" s="46">
        <v>1</v>
      </c>
      <c r="G71" s="47">
        <v>5</v>
      </c>
      <c r="H71" s="46">
        <v>14</v>
      </c>
      <c r="I71" s="47">
        <v>0</v>
      </c>
      <c r="J71" s="46">
        <v>0</v>
      </c>
      <c r="K71" s="47">
        <v>5</v>
      </c>
      <c r="L71" s="46">
        <v>6</v>
      </c>
      <c r="M71" s="47">
        <v>5</v>
      </c>
      <c r="N71" s="46">
        <v>5</v>
      </c>
      <c r="O71" s="47">
        <v>2</v>
      </c>
      <c r="P71" s="48">
        <v>-19</v>
      </c>
    </row>
    <row r="72" ht="13.9" spans="1:16">
      <c r="A72" s="45" t="s">
        <v>31</v>
      </c>
      <c r="B72" s="46">
        <f t="shared" si="7"/>
        <v>8</v>
      </c>
      <c r="C72" s="47">
        <v>16</v>
      </c>
      <c r="D72" s="46">
        <v>3</v>
      </c>
      <c r="E72" s="47">
        <v>3</v>
      </c>
      <c r="F72" s="46">
        <v>0</v>
      </c>
      <c r="G72" s="47">
        <v>4</v>
      </c>
      <c r="H72" s="46">
        <v>7</v>
      </c>
      <c r="I72" s="47">
        <v>0</v>
      </c>
      <c r="J72" s="46">
        <v>0</v>
      </c>
      <c r="K72" s="47">
        <v>0</v>
      </c>
      <c r="L72" s="46">
        <v>1</v>
      </c>
      <c r="M72" s="47">
        <v>4</v>
      </c>
      <c r="N72" s="46">
        <v>1</v>
      </c>
      <c r="O72" s="47">
        <v>5</v>
      </c>
      <c r="P72" s="48">
        <v>-7</v>
      </c>
    </row>
    <row r="73" ht="13.9" spans="1:16">
      <c r="A73" s="45" t="s">
        <v>32</v>
      </c>
      <c r="B73" s="46">
        <f t="shared" si="7"/>
        <v>6</v>
      </c>
      <c r="C73" s="47">
        <v>5</v>
      </c>
      <c r="D73" s="46">
        <v>4</v>
      </c>
      <c r="E73" s="47">
        <v>0</v>
      </c>
      <c r="F73" s="46">
        <v>0</v>
      </c>
      <c r="G73" s="47">
        <v>3</v>
      </c>
      <c r="H73" s="46">
        <v>9</v>
      </c>
      <c r="I73" s="47">
        <v>0</v>
      </c>
      <c r="J73" s="46">
        <v>1</v>
      </c>
      <c r="K73" s="47">
        <v>0</v>
      </c>
      <c r="L73" s="46">
        <v>0</v>
      </c>
      <c r="M73" s="47">
        <v>0</v>
      </c>
      <c r="N73" s="46">
        <v>3</v>
      </c>
      <c r="O73" s="47">
        <v>1</v>
      </c>
      <c r="P73" s="48">
        <v>-4</v>
      </c>
    </row>
    <row r="74" ht="13.9" spans="1:16">
      <c r="A74" s="45" t="s">
        <v>33</v>
      </c>
      <c r="B74" s="46">
        <f t="shared" si="7"/>
        <v>7</v>
      </c>
      <c r="C74" s="47">
        <v>1</v>
      </c>
      <c r="D74" s="46">
        <v>1</v>
      </c>
      <c r="E74" s="47">
        <v>1</v>
      </c>
      <c r="F74" s="46">
        <v>1</v>
      </c>
      <c r="G74" s="47">
        <v>3</v>
      </c>
      <c r="H74" s="46">
        <v>8</v>
      </c>
      <c r="I74" s="47">
        <v>0</v>
      </c>
      <c r="J74" s="46">
        <v>0</v>
      </c>
      <c r="K74" s="47">
        <v>1</v>
      </c>
      <c r="L74" s="46">
        <v>2</v>
      </c>
      <c r="M74" s="47">
        <v>0</v>
      </c>
      <c r="N74" s="46">
        <v>4</v>
      </c>
      <c r="O74" s="47">
        <v>0</v>
      </c>
      <c r="P74" s="48">
        <v>-15</v>
      </c>
    </row>
    <row r="75" ht="13.9" spans="1:16">
      <c r="A75" s="45" t="s">
        <v>34</v>
      </c>
      <c r="B75" s="46">
        <f t="shared" si="7"/>
        <v>5</v>
      </c>
      <c r="C75" s="47">
        <v>5</v>
      </c>
      <c r="D75" s="46">
        <v>1</v>
      </c>
      <c r="E75" s="47">
        <v>1</v>
      </c>
      <c r="F75" s="46">
        <v>0</v>
      </c>
      <c r="G75" s="47">
        <v>2</v>
      </c>
      <c r="H75" s="46">
        <v>2</v>
      </c>
      <c r="I75" s="47">
        <v>0</v>
      </c>
      <c r="J75" s="46">
        <v>0</v>
      </c>
      <c r="K75" s="47">
        <v>1</v>
      </c>
      <c r="L75" s="46">
        <v>1</v>
      </c>
      <c r="M75" s="47">
        <v>1</v>
      </c>
      <c r="N75" s="46">
        <v>0</v>
      </c>
      <c r="O75" s="47">
        <v>0</v>
      </c>
      <c r="P75" s="48">
        <v>5</v>
      </c>
    </row>
    <row r="76" ht="13.9" spans="1:16">
      <c r="A76" s="53" t="s">
        <v>35</v>
      </c>
      <c r="B76" s="46">
        <f t="shared" si="7"/>
        <v>11</v>
      </c>
      <c r="C76" s="59">
        <v>1</v>
      </c>
      <c r="D76" s="54">
        <v>3</v>
      </c>
      <c r="E76" s="59">
        <v>0</v>
      </c>
      <c r="F76" s="54">
        <v>1</v>
      </c>
      <c r="G76" s="59">
        <v>3</v>
      </c>
      <c r="H76" s="54">
        <v>5</v>
      </c>
      <c r="I76" s="59">
        <v>0</v>
      </c>
      <c r="J76" s="54">
        <v>0</v>
      </c>
      <c r="K76" s="59">
        <v>5</v>
      </c>
      <c r="L76" s="54">
        <v>5</v>
      </c>
      <c r="M76" s="59">
        <v>0</v>
      </c>
      <c r="N76" s="54">
        <v>2</v>
      </c>
      <c r="O76" s="59">
        <v>1</v>
      </c>
      <c r="P76" s="60">
        <v>-6</v>
      </c>
    </row>
    <row r="77" ht="13.85" spans="1:16">
      <c r="A77" s="50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2"/>
    </row>
    <row r="78" ht="13.9" spans="1:16">
      <c r="A78" s="45" t="s">
        <v>16</v>
      </c>
      <c r="B78" s="46">
        <f>G78*2+I78+K78</f>
        <v>191</v>
      </c>
      <c r="C78" s="46">
        <v>76</v>
      </c>
      <c r="D78" s="46">
        <v>48</v>
      </c>
      <c r="E78" s="46">
        <v>17</v>
      </c>
      <c r="F78" s="46">
        <v>17</v>
      </c>
      <c r="G78" s="46">
        <v>79</v>
      </c>
      <c r="H78" s="46">
        <v>151</v>
      </c>
      <c r="I78" s="46">
        <v>11</v>
      </c>
      <c r="J78" s="46">
        <v>32</v>
      </c>
      <c r="K78" s="46">
        <v>22</v>
      </c>
      <c r="L78" s="46">
        <v>29</v>
      </c>
      <c r="M78" s="46">
        <v>22</v>
      </c>
      <c r="N78" s="46">
        <v>31</v>
      </c>
      <c r="O78" s="46">
        <v>14</v>
      </c>
      <c r="P78" s="46"/>
    </row>
    <row r="79" ht="13.9" spans="1:16">
      <c r="A79" s="53" t="s">
        <v>26</v>
      </c>
      <c r="B79" s="46">
        <f>G79*2+I79+K79</f>
        <v>181</v>
      </c>
      <c r="C79" s="54">
        <v>60</v>
      </c>
      <c r="D79" s="54">
        <v>29</v>
      </c>
      <c r="E79" s="54">
        <v>19</v>
      </c>
      <c r="F79" s="54">
        <f>SUM(F68:F76)</f>
        <v>10</v>
      </c>
      <c r="G79" s="54">
        <v>65</v>
      </c>
      <c r="H79" s="54">
        <v>133</v>
      </c>
      <c r="I79" s="54">
        <v>8</v>
      </c>
      <c r="J79" s="54">
        <v>14</v>
      </c>
      <c r="K79" s="54">
        <v>43</v>
      </c>
      <c r="L79" s="54">
        <v>50</v>
      </c>
      <c r="M79" s="54">
        <v>13</v>
      </c>
      <c r="N79" s="54">
        <v>28</v>
      </c>
      <c r="O79" s="54">
        <v>18</v>
      </c>
      <c r="P79" s="54"/>
    </row>
    <row r="83" ht="13.9" customHeight="1" spans="1:16">
      <c r="A83" s="49" t="s">
        <v>39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40"/>
    </row>
    <row r="84" ht="13.9" customHeight="1" spans="1:16">
      <c r="A84" s="56" t="s">
        <v>16</v>
      </c>
      <c r="B84" s="57" t="s">
        <v>0</v>
      </c>
      <c r="C84" s="57" t="s">
        <v>1</v>
      </c>
      <c r="D84" s="57" t="s">
        <v>2</v>
      </c>
      <c r="E84" s="57" t="s">
        <v>3</v>
      </c>
      <c r="F84" s="57" t="s">
        <v>4</v>
      </c>
      <c r="G84" s="57" t="s">
        <v>5</v>
      </c>
      <c r="H84" s="57" t="s">
        <v>6</v>
      </c>
      <c r="I84" s="57" t="s">
        <v>7</v>
      </c>
      <c r="J84" s="57" t="s">
        <v>8</v>
      </c>
      <c r="K84" s="57" t="s">
        <v>9</v>
      </c>
      <c r="L84" s="57" t="s">
        <v>10</v>
      </c>
      <c r="M84" s="57" t="s">
        <v>11</v>
      </c>
      <c r="N84" s="57" t="s">
        <v>12</v>
      </c>
      <c r="O84" s="57" t="s">
        <v>13</v>
      </c>
      <c r="P84" s="58" t="s">
        <v>14</v>
      </c>
    </row>
    <row r="85" ht="13.9" spans="1:16">
      <c r="A85" s="41" t="s">
        <v>17</v>
      </c>
      <c r="B85" s="46">
        <f t="shared" ref="B85:B93" si="8">G85*2+I85+K85</f>
        <v>32</v>
      </c>
      <c r="C85" s="43">
        <v>2</v>
      </c>
      <c r="D85" s="42">
        <v>12</v>
      </c>
      <c r="E85" s="43">
        <v>4</v>
      </c>
      <c r="F85" s="42">
        <v>3</v>
      </c>
      <c r="G85" s="43">
        <v>13</v>
      </c>
      <c r="H85" s="42">
        <v>26</v>
      </c>
      <c r="I85" s="43">
        <v>3</v>
      </c>
      <c r="J85" s="42">
        <v>6</v>
      </c>
      <c r="K85" s="43">
        <v>3</v>
      </c>
      <c r="L85" s="42">
        <v>6</v>
      </c>
      <c r="M85" s="43">
        <v>1</v>
      </c>
      <c r="N85" s="42">
        <v>5</v>
      </c>
      <c r="O85" s="43">
        <v>4</v>
      </c>
      <c r="P85" s="44">
        <v>12</v>
      </c>
    </row>
    <row r="86" ht="13.9" spans="1:16">
      <c r="A86" s="45" t="s">
        <v>18</v>
      </c>
      <c r="B86" s="46">
        <f t="shared" si="8"/>
        <v>40</v>
      </c>
      <c r="C86" s="47">
        <v>7</v>
      </c>
      <c r="D86" s="46">
        <v>4</v>
      </c>
      <c r="E86" s="47">
        <v>1</v>
      </c>
      <c r="F86" s="46">
        <v>4</v>
      </c>
      <c r="G86" s="47">
        <v>16</v>
      </c>
      <c r="H86" s="46">
        <v>25</v>
      </c>
      <c r="I86" s="47">
        <v>3</v>
      </c>
      <c r="J86" s="46">
        <v>9</v>
      </c>
      <c r="K86" s="47">
        <v>5</v>
      </c>
      <c r="L86" s="46">
        <v>5</v>
      </c>
      <c r="M86" s="47">
        <v>2</v>
      </c>
      <c r="N86" s="46">
        <v>1</v>
      </c>
      <c r="O86" s="47">
        <v>2</v>
      </c>
      <c r="P86" s="48">
        <v>20</v>
      </c>
    </row>
    <row r="87" ht="13.9" spans="1:16">
      <c r="A87" s="45" t="s">
        <v>19</v>
      </c>
      <c r="B87" s="46">
        <f t="shared" si="8"/>
        <v>21</v>
      </c>
      <c r="C87" s="47">
        <v>3</v>
      </c>
      <c r="D87" s="46">
        <v>5</v>
      </c>
      <c r="E87" s="47">
        <v>1</v>
      </c>
      <c r="F87" s="46">
        <v>1</v>
      </c>
      <c r="G87" s="47">
        <v>9</v>
      </c>
      <c r="H87" s="46">
        <v>15</v>
      </c>
      <c r="I87" s="47">
        <v>0</v>
      </c>
      <c r="J87" s="46">
        <v>1</v>
      </c>
      <c r="K87" s="47">
        <v>3</v>
      </c>
      <c r="L87" s="46">
        <v>6</v>
      </c>
      <c r="M87" s="47">
        <v>1</v>
      </c>
      <c r="N87" s="46">
        <v>3</v>
      </c>
      <c r="O87" s="47">
        <v>2</v>
      </c>
      <c r="P87" s="48">
        <v>9</v>
      </c>
    </row>
    <row r="88" ht="13.9" spans="1:16">
      <c r="A88" s="45" t="s">
        <v>20</v>
      </c>
      <c r="B88" s="46">
        <f t="shared" si="8"/>
        <v>18</v>
      </c>
      <c r="C88" s="47">
        <v>9</v>
      </c>
      <c r="D88" s="46">
        <v>1</v>
      </c>
      <c r="E88" s="47">
        <v>1</v>
      </c>
      <c r="F88" s="46">
        <v>1</v>
      </c>
      <c r="G88" s="47">
        <v>8</v>
      </c>
      <c r="H88" s="46">
        <v>11</v>
      </c>
      <c r="I88" s="47">
        <v>0</v>
      </c>
      <c r="J88" s="46">
        <v>0</v>
      </c>
      <c r="K88" s="47">
        <v>2</v>
      </c>
      <c r="L88" s="46">
        <v>2</v>
      </c>
      <c r="M88" s="47">
        <v>1</v>
      </c>
      <c r="N88" s="46">
        <v>3</v>
      </c>
      <c r="O88" s="47">
        <v>0</v>
      </c>
      <c r="P88" s="48">
        <v>21</v>
      </c>
    </row>
    <row r="89" ht="13.9" spans="1:16">
      <c r="A89" s="45" t="s">
        <v>21</v>
      </c>
      <c r="B89" s="46">
        <f t="shared" si="8"/>
        <v>22</v>
      </c>
      <c r="C89" s="47">
        <v>16</v>
      </c>
      <c r="D89" s="46">
        <v>0</v>
      </c>
      <c r="E89" s="47">
        <v>0</v>
      </c>
      <c r="F89" s="46">
        <v>1</v>
      </c>
      <c r="G89" s="47">
        <v>10</v>
      </c>
      <c r="H89" s="46">
        <v>14</v>
      </c>
      <c r="I89" s="47">
        <v>0</v>
      </c>
      <c r="J89" s="46">
        <v>0</v>
      </c>
      <c r="K89" s="47">
        <v>2</v>
      </c>
      <c r="L89" s="46">
        <v>4</v>
      </c>
      <c r="M89" s="47">
        <v>6</v>
      </c>
      <c r="N89" s="46">
        <v>0</v>
      </c>
      <c r="O89" s="47">
        <v>0</v>
      </c>
      <c r="P89" s="48">
        <v>14</v>
      </c>
    </row>
    <row r="90" ht="13.9" spans="1:16">
      <c r="A90" s="45" t="s">
        <v>22</v>
      </c>
      <c r="B90" s="46">
        <f t="shared" si="8"/>
        <v>23</v>
      </c>
      <c r="C90" s="47">
        <v>4</v>
      </c>
      <c r="D90" s="46">
        <v>5</v>
      </c>
      <c r="E90" s="47">
        <v>0</v>
      </c>
      <c r="F90" s="46">
        <v>3</v>
      </c>
      <c r="G90" s="47">
        <v>9</v>
      </c>
      <c r="H90" s="46">
        <v>13</v>
      </c>
      <c r="I90" s="47">
        <v>3</v>
      </c>
      <c r="J90" s="46">
        <v>4</v>
      </c>
      <c r="K90" s="47">
        <v>2</v>
      </c>
      <c r="L90" s="46">
        <v>2</v>
      </c>
      <c r="M90" s="47">
        <v>2</v>
      </c>
      <c r="N90" s="46">
        <v>3</v>
      </c>
      <c r="O90" s="47">
        <v>2</v>
      </c>
      <c r="P90" s="48">
        <v>2</v>
      </c>
    </row>
    <row r="91" ht="13.9" spans="1:16">
      <c r="A91" s="45" t="s">
        <v>23</v>
      </c>
      <c r="B91" s="46">
        <f t="shared" si="8"/>
        <v>0</v>
      </c>
      <c r="C91" s="47">
        <v>2</v>
      </c>
      <c r="D91" s="46">
        <v>3</v>
      </c>
      <c r="E91" s="47">
        <v>0</v>
      </c>
      <c r="F91" s="46">
        <v>0</v>
      </c>
      <c r="G91" s="47">
        <v>0</v>
      </c>
      <c r="H91" s="46">
        <v>3</v>
      </c>
      <c r="I91" s="47">
        <v>0</v>
      </c>
      <c r="J91" s="46">
        <v>1</v>
      </c>
      <c r="K91" s="47">
        <v>0</v>
      </c>
      <c r="L91" s="46">
        <v>0</v>
      </c>
      <c r="M91" s="47">
        <v>0</v>
      </c>
      <c r="N91" s="46">
        <v>1</v>
      </c>
      <c r="O91" s="47">
        <v>0</v>
      </c>
      <c r="P91" s="48">
        <v>-7</v>
      </c>
    </row>
    <row r="92" ht="13.9" spans="1:16">
      <c r="A92" s="45" t="s">
        <v>24</v>
      </c>
      <c r="B92" s="46">
        <f t="shared" si="8"/>
        <v>0</v>
      </c>
      <c r="C92" s="47">
        <v>1</v>
      </c>
      <c r="D92" s="46">
        <v>0</v>
      </c>
      <c r="E92" s="47">
        <v>0</v>
      </c>
      <c r="F92" s="46">
        <v>0</v>
      </c>
      <c r="G92" s="47">
        <v>0</v>
      </c>
      <c r="H92" s="46">
        <v>2</v>
      </c>
      <c r="I92" s="47">
        <v>0</v>
      </c>
      <c r="J92" s="46">
        <v>1</v>
      </c>
      <c r="K92" s="47">
        <v>0</v>
      </c>
      <c r="L92" s="46">
        <v>0</v>
      </c>
      <c r="M92" s="47">
        <v>1</v>
      </c>
      <c r="N92" s="46">
        <v>1</v>
      </c>
      <c r="O92" s="47">
        <v>0</v>
      </c>
      <c r="P92" s="48">
        <v>-7</v>
      </c>
    </row>
    <row r="93" ht="13.9" spans="1:16">
      <c r="A93" s="45" t="s">
        <v>25</v>
      </c>
      <c r="B93" s="46">
        <f t="shared" si="8"/>
        <v>0</v>
      </c>
      <c r="C93" s="47">
        <v>2</v>
      </c>
      <c r="D93" s="46">
        <v>1</v>
      </c>
      <c r="E93" s="47">
        <v>0</v>
      </c>
      <c r="F93" s="46">
        <v>0</v>
      </c>
      <c r="G93" s="47">
        <v>0</v>
      </c>
      <c r="H93" s="46">
        <v>5</v>
      </c>
      <c r="I93" s="47">
        <v>0</v>
      </c>
      <c r="J93" s="46">
        <v>4</v>
      </c>
      <c r="K93" s="47">
        <v>0</v>
      </c>
      <c r="L93" s="46">
        <v>0</v>
      </c>
      <c r="M93" s="47">
        <v>1</v>
      </c>
      <c r="N93" s="46">
        <v>1</v>
      </c>
      <c r="O93" s="47">
        <v>0</v>
      </c>
      <c r="P93" s="48">
        <v>-5</v>
      </c>
    </row>
    <row r="94" ht="13.9" customHeight="1" spans="1:16">
      <c r="A94" s="49" t="s">
        <v>26</v>
      </c>
      <c r="B94" s="39" t="s">
        <v>0</v>
      </c>
      <c r="C94" s="39" t="s">
        <v>1</v>
      </c>
      <c r="D94" s="39" t="s">
        <v>2</v>
      </c>
      <c r="E94" s="39" t="s">
        <v>3</v>
      </c>
      <c r="F94" s="39" t="s">
        <v>4</v>
      </c>
      <c r="G94" s="39" t="s">
        <v>5</v>
      </c>
      <c r="H94" s="39" t="s">
        <v>6</v>
      </c>
      <c r="I94" s="39" t="s">
        <v>7</v>
      </c>
      <c r="J94" s="39" t="s">
        <v>8</v>
      </c>
      <c r="K94" s="39" t="s">
        <v>9</v>
      </c>
      <c r="L94" s="39" t="s">
        <v>10</v>
      </c>
      <c r="M94" s="39" t="s">
        <v>11</v>
      </c>
      <c r="N94" s="39" t="s">
        <v>12</v>
      </c>
      <c r="O94" s="39" t="s">
        <v>13</v>
      </c>
      <c r="P94" s="40" t="s">
        <v>14</v>
      </c>
    </row>
    <row r="95" ht="13.9" spans="1:16">
      <c r="A95" s="41" t="s">
        <v>27</v>
      </c>
      <c r="B95" s="46">
        <f t="shared" ref="B95:B103" si="9">G95*2+I95+K95</f>
        <v>47</v>
      </c>
      <c r="C95" s="43">
        <v>1</v>
      </c>
      <c r="D95" s="42">
        <v>1</v>
      </c>
      <c r="E95" s="43">
        <v>0</v>
      </c>
      <c r="F95" s="42">
        <v>1</v>
      </c>
      <c r="G95" s="43">
        <v>20</v>
      </c>
      <c r="H95" s="42">
        <v>29</v>
      </c>
      <c r="I95" s="43">
        <v>0</v>
      </c>
      <c r="J95" s="42">
        <v>0</v>
      </c>
      <c r="K95" s="43">
        <v>7</v>
      </c>
      <c r="L95" s="42">
        <v>8</v>
      </c>
      <c r="M95" s="43">
        <v>1</v>
      </c>
      <c r="N95" s="42">
        <v>5</v>
      </c>
      <c r="O95" s="43">
        <v>4</v>
      </c>
      <c r="P95" s="44">
        <v>-13</v>
      </c>
    </row>
    <row r="96" ht="13.9" spans="1:16">
      <c r="A96" s="45" t="s">
        <v>28</v>
      </c>
      <c r="B96" s="46">
        <f t="shared" si="9"/>
        <v>29</v>
      </c>
      <c r="C96" s="47">
        <v>4</v>
      </c>
      <c r="D96" s="46">
        <v>10</v>
      </c>
      <c r="E96" s="47">
        <v>1</v>
      </c>
      <c r="F96" s="46">
        <v>1</v>
      </c>
      <c r="G96" s="47">
        <v>10</v>
      </c>
      <c r="H96" s="46">
        <v>23</v>
      </c>
      <c r="I96" s="47">
        <v>3</v>
      </c>
      <c r="J96" s="46">
        <v>5</v>
      </c>
      <c r="K96" s="47">
        <v>6</v>
      </c>
      <c r="L96" s="46">
        <v>7</v>
      </c>
      <c r="M96" s="47">
        <v>0</v>
      </c>
      <c r="N96" s="46">
        <v>4</v>
      </c>
      <c r="O96" s="47">
        <v>2</v>
      </c>
      <c r="P96" s="48">
        <v>-17</v>
      </c>
    </row>
    <row r="97" ht="13.9" spans="1:16">
      <c r="A97" s="45" t="s">
        <v>29</v>
      </c>
      <c r="B97" s="46">
        <f t="shared" si="9"/>
        <v>19</v>
      </c>
      <c r="C97" s="47">
        <v>5</v>
      </c>
      <c r="D97" s="46">
        <v>3</v>
      </c>
      <c r="E97" s="47">
        <v>1</v>
      </c>
      <c r="F97" s="46">
        <v>0</v>
      </c>
      <c r="G97" s="47">
        <v>7</v>
      </c>
      <c r="H97" s="46">
        <v>11</v>
      </c>
      <c r="I97" s="47">
        <v>4</v>
      </c>
      <c r="J97" s="46">
        <v>8</v>
      </c>
      <c r="K97" s="47">
        <v>1</v>
      </c>
      <c r="L97" s="46">
        <v>1</v>
      </c>
      <c r="M97" s="47">
        <v>1</v>
      </c>
      <c r="N97" s="46">
        <v>5</v>
      </c>
      <c r="O97" s="47">
        <v>4</v>
      </c>
      <c r="P97" s="48">
        <v>-10</v>
      </c>
    </row>
    <row r="98" ht="13.9" spans="1:16">
      <c r="A98" s="45" t="s">
        <v>30</v>
      </c>
      <c r="B98" s="46">
        <f t="shared" si="9"/>
        <v>17</v>
      </c>
      <c r="C98" s="47">
        <v>12</v>
      </c>
      <c r="D98" s="46">
        <v>6</v>
      </c>
      <c r="E98" s="47">
        <v>2</v>
      </c>
      <c r="F98" s="46">
        <v>0</v>
      </c>
      <c r="G98" s="47">
        <v>5</v>
      </c>
      <c r="H98" s="46">
        <v>10</v>
      </c>
      <c r="I98" s="47">
        <v>0</v>
      </c>
      <c r="J98" s="46">
        <v>0</v>
      </c>
      <c r="K98" s="47">
        <v>7</v>
      </c>
      <c r="L98" s="46">
        <v>7</v>
      </c>
      <c r="M98" s="47">
        <v>3</v>
      </c>
      <c r="N98" s="46">
        <v>2</v>
      </c>
      <c r="O98" s="47">
        <v>2</v>
      </c>
      <c r="P98" s="48">
        <v>-1</v>
      </c>
    </row>
    <row r="99" ht="13.9" spans="1:16">
      <c r="A99" s="45" t="s">
        <v>31</v>
      </c>
      <c r="B99" s="46">
        <f t="shared" si="9"/>
        <v>2</v>
      </c>
      <c r="C99" s="47">
        <v>8</v>
      </c>
      <c r="D99" s="46">
        <v>5</v>
      </c>
      <c r="E99" s="47">
        <v>5</v>
      </c>
      <c r="F99" s="46">
        <v>2</v>
      </c>
      <c r="G99" s="47">
        <v>1</v>
      </c>
      <c r="H99" s="46">
        <v>2</v>
      </c>
      <c r="I99" s="47">
        <v>0</v>
      </c>
      <c r="J99" s="46">
        <v>0</v>
      </c>
      <c r="K99" s="47">
        <v>0</v>
      </c>
      <c r="L99" s="46">
        <v>0</v>
      </c>
      <c r="M99" s="47">
        <v>2</v>
      </c>
      <c r="N99" s="46">
        <v>2</v>
      </c>
      <c r="O99" s="47">
        <v>5</v>
      </c>
      <c r="P99" s="48">
        <v>-15</v>
      </c>
    </row>
    <row r="100" ht="13.9" spans="1:16">
      <c r="A100" s="45" t="s">
        <v>32</v>
      </c>
      <c r="B100" s="46">
        <f t="shared" si="9"/>
        <v>7</v>
      </c>
      <c r="C100" s="47">
        <v>3</v>
      </c>
      <c r="D100" s="46">
        <v>7</v>
      </c>
      <c r="E100" s="47">
        <v>4</v>
      </c>
      <c r="F100" s="46">
        <v>0</v>
      </c>
      <c r="G100" s="47">
        <v>2</v>
      </c>
      <c r="H100" s="46">
        <v>7</v>
      </c>
      <c r="I100" s="47">
        <v>0</v>
      </c>
      <c r="J100" s="46">
        <v>3</v>
      </c>
      <c r="K100" s="47">
        <v>3</v>
      </c>
      <c r="L100" s="46">
        <v>4</v>
      </c>
      <c r="M100" s="47">
        <v>0</v>
      </c>
      <c r="N100" s="46">
        <v>1</v>
      </c>
      <c r="O100" s="47">
        <v>2</v>
      </c>
      <c r="P100" s="48">
        <v>-2</v>
      </c>
    </row>
    <row r="101" ht="13.9" spans="1:16">
      <c r="A101" s="45" t="s">
        <v>33</v>
      </c>
      <c r="B101" s="46">
        <f t="shared" si="9"/>
        <v>14</v>
      </c>
      <c r="C101" s="47">
        <v>2</v>
      </c>
      <c r="D101" s="46">
        <v>3</v>
      </c>
      <c r="E101" s="47">
        <v>0</v>
      </c>
      <c r="F101" s="46">
        <v>1</v>
      </c>
      <c r="G101" s="47">
        <v>5</v>
      </c>
      <c r="H101" s="46">
        <v>7</v>
      </c>
      <c r="I101" s="47">
        <v>0</v>
      </c>
      <c r="J101" s="46">
        <v>0</v>
      </c>
      <c r="K101" s="47">
        <v>4</v>
      </c>
      <c r="L101" s="46">
        <v>5</v>
      </c>
      <c r="M101" s="47">
        <v>0</v>
      </c>
      <c r="N101" s="46">
        <v>3</v>
      </c>
      <c r="O101" s="47">
        <v>2</v>
      </c>
      <c r="P101" s="48">
        <v>-3</v>
      </c>
    </row>
    <row r="102" ht="13.9" spans="1:16">
      <c r="A102" s="45" t="s">
        <v>34</v>
      </c>
      <c r="B102" s="46">
        <f t="shared" si="9"/>
        <v>12</v>
      </c>
      <c r="C102" s="47">
        <v>2</v>
      </c>
      <c r="D102" s="46">
        <v>1</v>
      </c>
      <c r="E102" s="47">
        <v>0</v>
      </c>
      <c r="F102" s="46">
        <v>0</v>
      </c>
      <c r="G102" s="47">
        <v>3</v>
      </c>
      <c r="H102" s="46">
        <v>5</v>
      </c>
      <c r="I102" s="47">
        <v>1</v>
      </c>
      <c r="J102" s="46">
        <v>1</v>
      </c>
      <c r="K102" s="47">
        <v>5</v>
      </c>
      <c r="L102" s="46">
        <v>5</v>
      </c>
      <c r="M102" s="47">
        <v>0</v>
      </c>
      <c r="N102" s="46">
        <v>1</v>
      </c>
      <c r="O102" s="47">
        <v>0</v>
      </c>
      <c r="P102" s="48">
        <v>-11</v>
      </c>
    </row>
    <row r="103" ht="13.9" spans="1:16">
      <c r="A103" s="53" t="s">
        <v>35</v>
      </c>
      <c r="B103" s="46">
        <f t="shared" si="9"/>
        <v>2</v>
      </c>
      <c r="C103" s="59">
        <v>0</v>
      </c>
      <c r="D103" s="54">
        <v>6</v>
      </c>
      <c r="E103" s="59">
        <v>0</v>
      </c>
      <c r="F103" s="54">
        <v>0</v>
      </c>
      <c r="G103" s="59">
        <v>1</v>
      </c>
      <c r="H103" s="54">
        <v>1</v>
      </c>
      <c r="I103" s="59">
        <v>0</v>
      </c>
      <c r="J103" s="54">
        <v>0</v>
      </c>
      <c r="K103" s="59">
        <v>0</v>
      </c>
      <c r="L103" s="54">
        <v>0</v>
      </c>
      <c r="M103" s="59">
        <v>0</v>
      </c>
      <c r="N103" s="54">
        <v>0</v>
      </c>
      <c r="O103" s="59">
        <v>0</v>
      </c>
      <c r="P103" s="60">
        <v>10</v>
      </c>
    </row>
    <row r="104" ht="13.85" spans="1:16">
      <c r="A104" s="50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2"/>
    </row>
    <row r="105" ht="13.9" spans="1:16">
      <c r="A105" s="45" t="s">
        <v>16</v>
      </c>
      <c r="B105" s="46">
        <f>G105*2+I105+K105</f>
        <v>158</v>
      </c>
      <c r="C105" s="46">
        <f>SUM(C85:C93)</f>
        <v>46</v>
      </c>
      <c r="D105" s="46">
        <f>SUM(D85:D93)</f>
        <v>31</v>
      </c>
      <c r="E105" s="46">
        <f>SUM(E85:E93)</f>
        <v>7</v>
      </c>
      <c r="F105" s="46">
        <f>SUM(F85:F93)</f>
        <v>13</v>
      </c>
      <c r="G105" s="46">
        <v>66</v>
      </c>
      <c r="H105" s="46">
        <v>114</v>
      </c>
      <c r="I105" s="46">
        <f t="shared" ref="I105:O105" si="10">SUM(I85:I93)</f>
        <v>9</v>
      </c>
      <c r="J105" s="46">
        <f t="shared" si="10"/>
        <v>26</v>
      </c>
      <c r="K105" s="46">
        <f t="shared" si="10"/>
        <v>17</v>
      </c>
      <c r="L105" s="46">
        <f t="shared" si="10"/>
        <v>25</v>
      </c>
      <c r="M105" s="46">
        <f t="shared" si="10"/>
        <v>15</v>
      </c>
      <c r="N105" s="46">
        <f t="shared" si="10"/>
        <v>18</v>
      </c>
      <c r="O105" s="46">
        <f t="shared" si="10"/>
        <v>10</v>
      </c>
      <c r="P105" s="46"/>
    </row>
    <row r="106" ht="13.9" spans="1:16">
      <c r="A106" s="53" t="s">
        <v>26</v>
      </c>
      <c r="B106" s="46">
        <f>G106*2+I106+K106</f>
        <v>149</v>
      </c>
      <c r="C106" s="54">
        <f>SUM(C95:C103)</f>
        <v>37</v>
      </c>
      <c r="D106" s="54">
        <f>SUM(D95:D103)</f>
        <v>42</v>
      </c>
      <c r="E106" s="54">
        <f>SUM(E95:E103)</f>
        <v>13</v>
      </c>
      <c r="F106" s="54">
        <f>SUM(F95:F103)</f>
        <v>5</v>
      </c>
      <c r="G106" s="54">
        <f>SUM(G95:G103)</f>
        <v>54</v>
      </c>
      <c r="H106" s="54">
        <v>98</v>
      </c>
      <c r="I106" s="54">
        <f t="shared" ref="I106:O106" si="11">SUM(I95:I103)</f>
        <v>8</v>
      </c>
      <c r="J106" s="54">
        <f t="shared" si="11"/>
        <v>17</v>
      </c>
      <c r="K106" s="54">
        <f t="shared" si="11"/>
        <v>33</v>
      </c>
      <c r="L106" s="54">
        <f t="shared" si="11"/>
        <v>37</v>
      </c>
      <c r="M106" s="54">
        <f t="shared" si="11"/>
        <v>7</v>
      </c>
      <c r="N106" s="54">
        <f t="shared" si="11"/>
        <v>23</v>
      </c>
      <c r="O106" s="54">
        <f t="shared" si="11"/>
        <v>21</v>
      </c>
      <c r="P106" s="54"/>
    </row>
    <row r="110" ht="13.9" customHeight="1" spans="1:16">
      <c r="A110" s="49" t="s">
        <v>40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40"/>
    </row>
    <row r="111" ht="13.9" customHeight="1" spans="1:16">
      <c r="A111" s="56" t="s">
        <v>16</v>
      </c>
      <c r="B111" s="57" t="s">
        <v>0</v>
      </c>
      <c r="C111" s="57" t="s">
        <v>1</v>
      </c>
      <c r="D111" s="57" t="s">
        <v>2</v>
      </c>
      <c r="E111" s="57" t="s">
        <v>3</v>
      </c>
      <c r="F111" s="57" t="s">
        <v>4</v>
      </c>
      <c r="G111" s="57" t="s">
        <v>5</v>
      </c>
      <c r="H111" s="57" t="s">
        <v>6</v>
      </c>
      <c r="I111" s="57" t="s">
        <v>7</v>
      </c>
      <c r="J111" s="57" t="s">
        <v>8</v>
      </c>
      <c r="K111" s="57" t="s">
        <v>9</v>
      </c>
      <c r="L111" s="57" t="s">
        <v>10</v>
      </c>
      <c r="M111" s="57" t="s">
        <v>11</v>
      </c>
      <c r="N111" s="57" t="s">
        <v>12</v>
      </c>
      <c r="O111" s="57" t="s">
        <v>13</v>
      </c>
      <c r="P111" s="58" t="s">
        <v>14</v>
      </c>
    </row>
    <row r="112" ht="13.9" spans="1:16">
      <c r="A112" s="41" t="s">
        <v>17</v>
      </c>
      <c r="B112" s="46">
        <f t="shared" ref="B112:B120" si="12">G112*2+I112+K112</f>
        <v>21</v>
      </c>
      <c r="C112" s="43">
        <v>4</v>
      </c>
      <c r="D112" s="42">
        <v>9</v>
      </c>
      <c r="E112" s="43">
        <v>2</v>
      </c>
      <c r="F112" s="42">
        <v>0</v>
      </c>
      <c r="G112" s="43">
        <v>8</v>
      </c>
      <c r="H112" s="42">
        <v>12</v>
      </c>
      <c r="I112" s="43">
        <v>2</v>
      </c>
      <c r="J112" s="42">
        <v>4</v>
      </c>
      <c r="K112" s="43">
        <v>3</v>
      </c>
      <c r="L112" s="42">
        <v>5</v>
      </c>
      <c r="M112" s="43">
        <v>1</v>
      </c>
      <c r="N112" s="42">
        <v>6</v>
      </c>
      <c r="O112" s="43">
        <v>0</v>
      </c>
      <c r="P112" s="44">
        <v>16</v>
      </c>
    </row>
    <row r="113" ht="13.9" spans="1:16">
      <c r="A113" s="45" t="s">
        <v>18</v>
      </c>
      <c r="B113" s="46">
        <f t="shared" si="12"/>
        <v>24</v>
      </c>
      <c r="C113" s="47">
        <v>5</v>
      </c>
      <c r="D113" s="46">
        <v>5</v>
      </c>
      <c r="E113" s="47">
        <v>2</v>
      </c>
      <c r="F113" s="46">
        <v>0</v>
      </c>
      <c r="G113" s="47">
        <v>10</v>
      </c>
      <c r="H113" s="46">
        <v>18</v>
      </c>
      <c r="I113" s="47">
        <v>3</v>
      </c>
      <c r="J113" s="46">
        <v>7</v>
      </c>
      <c r="K113" s="47">
        <v>1</v>
      </c>
      <c r="L113" s="46">
        <v>1</v>
      </c>
      <c r="M113" s="47">
        <v>1</v>
      </c>
      <c r="N113" s="46">
        <v>1</v>
      </c>
      <c r="O113" s="47">
        <v>1</v>
      </c>
      <c r="P113" s="48">
        <v>17</v>
      </c>
    </row>
    <row r="114" ht="13.9" spans="1:16">
      <c r="A114" s="45" t="s">
        <v>19</v>
      </c>
      <c r="B114" s="46">
        <f t="shared" si="12"/>
        <v>14</v>
      </c>
      <c r="C114" s="47">
        <v>8</v>
      </c>
      <c r="D114" s="46">
        <v>10</v>
      </c>
      <c r="E114" s="47">
        <v>3</v>
      </c>
      <c r="F114" s="46">
        <v>1</v>
      </c>
      <c r="G114" s="47">
        <v>7</v>
      </c>
      <c r="H114" s="46">
        <v>12</v>
      </c>
      <c r="I114" s="47">
        <v>0</v>
      </c>
      <c r="J114" s="46">
        <v>1</v>
      </c>
      <c r="K114" s="47">
        <v>0</v>
      </c>
      <c r="L114" s="46">
        <v>0</v>
      </c>
      <c r="M114" s="47">
        <v>1</v>
      </c>
      <c r="N114" s="46">
        <v>1</v>
      </c>
      <c r="O114" s="47">
        <v>3</v>
      </c>
      <c r="P114" s="48">
        <v>21</v>
      </c>
    </row>
    <row r="115" ht="13.9" spans="1:16">
      <c r="A115" s="45" t="s">
        <v>20</v>
      </c>
      <c r="B115" s="46">
        <f t="shared" si="12"/>
        <v>5</v>
      </c>
      <c r="C115" s="47">
        <v>5</v>
      </c>
      <c r="D115" s="46">
        <v>5</v>
      </c>
      <c r="E115" s="47">
        <v>0</v>
      </c>
      <c r="F115" s="46">
        <v>3</v>
      </c>
      <c r="G115" s="47">
        <v>1</v>
      </c>
      <c r="H115" s="46">
        <v>5</v>
      </c>
      <c r="I115" s="47">
        <v>1</v>
      </c>
      <c r="J115" s="46">
        <v>2</v>
      </c>
      <c r="K115" s="47">
        <v>2</v>
      </c>
      <c r="L115" s="46">
        <v>4</v>
      </c>
      <c r="M115" s="47">
        <v>3</v>
      </c>
      <c r="N115" s="46">
        <v>0</v>
      </c>
      <c r="O115" s="47">
        <v>0</v>
      </c>
      <c r="P115" s="48">
        <v>30</v>
      </c>
    </row>
    <row r="116" ht="13.9" spans="1:16">
      <c r="A116" s="45" t="s">
        <v>21</v>
      </c>
      <c r="B116" s="46">
        <f t="shared" si="12"/>
        <v>14</v>
      </c>
      <c r="C116" s="47">
        <v>9</v>
      </c>
      <c r="D116" s="46">
        <v>0</v>
      </c>
      <c r="E116" s="47">
        <v>0</v>
      </c>
      <c r="F116" s="46">
        <v>2</v>
      </c>
      <c r="G116" s="47">
        <v>6</v>
      </c>
      <c r="H116" s="46">
        <v>8</v>
      </c>
      <c r="I116" s="47">
        <v>0</v>
      </c>
      <c r="J116" s="46">
        <v>0</v>
      </c>
      <c r="K116" s="47">
        <v>2</v>
      </c>
      <c r="L116" s="46">
        <v>2</v>
      </c>
      <c r="M116" s="47">
        <v>6</v>
      </c>
      <c r="N116" s="46">
        <v>1</v>
      </c>
      <c r="O116" s="47">
        <v>0</v>
      </c>
      <c r="P116" s="48">
        <v>13</v>
      </c>
    </row>
    <row r="117" ht="13.9" spans="1:16">
      <c r="A117" s="45" t="s">
        <v>22</v>
      </c>
      <c r="B117" s="46">
        <f t="shared" si="12"/>
        <v>17</v>
      </c>
      <c r="C117" s="47">
        <v>4</v>
      </c>
      <c r="D117" s="46">
        <v>3</v>
      </c>
      <c r="E117" s="47">
        <v>1</v>
      </c>
      <c r="F117" s="46">
        <v>1</v>
      </c>
      <c r="G117" s="47">
        <v>6</v>
      </c>
      <c r="H117" s="46">
        <v>12</v>
      </c>
      <c r="I117" s="47">
        <v>3</v>
      </c>
      <c r="J117" s="46">
        <v>4</v>
      </c>
      <c r="K117" s="47">
        <v>2</v>
      </c>
      <c r="L117" s="46">
        <v>2</v>
      </c>
      <c r="M117" s="47">
        <v>0</v>
      </c>
      <c r="N117" s="46">
        <v>0</v>
      </c>
      <c r="O117" s="47">
        <v>0</v>
      </c>
      <c r="P117" s="48">
        <v>14</v>
      </c>
    </row>
    <row r="118" ht="13.9" spans="1:16">
      <c r="A118" s="45" t="s">
        <v>23</v>
      </c>
      <c r="B118" s="46">
        <f t="shared" si="12"/>
        <v>25</v>
      </c>
      <c r="C118" s="47">
        <v>2</v>
      </c>
      <c r="D118" s="46">
        <v>2</v>
      </c>
      <c r="E118" s="47">
        <v>0</v>
      </c>
      <c r="F118" s="46">
        <v>1</v>
      </c>
      <c r="G118" s="47">
        <v>9</v>
      </c>
      <c r="H118" s="46">
        <v>11</v>
      </c>
      <c r="I118" s="47">
        <v>2</v>
      </c>
      <c r="J118" s="46">
        <v>2</v>
      </c>
      <c r="K118" s="47">
        <v>5</v>
      </c>
      <c r="L118" s="46">
        <v>6</v>
      </c>
      <c r="M118" s="47">
        <v>0</v>
      </c>
      <c r="N118" s="46">
        <v>1</v>
      </c>
      <c r="O118" s="47">
        <v>0</v>
      </c>
      <c r="P118" s="48">
        <v>12</v>
      </c>
    </row>
    <row r="119" ht="13.9" spans="1:16">
      <c r="A119" s="45" t="s">
        <v>24</v>
      </c>
      <c r="B119" s="46">
        <f t="shared" si="12"/>
        <v>6</v>
      </c>
      <c r="C119" s="47">
        <v>0</v>
      </c>
      <c r="D119" s="46">
        <v>4</v>
      </c>
      <c r="E119" s="47">
        <v>0</v>
      </c>
      <c r="F119" s="46">
        <v>0</v>
      </c>
      <c r="G119" s="47">
        <v>2</v>
      </c>
      <c r="H119" s="46">
        <v>5</v>
      </c>
      <c r="I119" s="47">
        <v>0</v>
      </c>
      <c r="J119" s="46">
        <v>1</v>
      </c>
      <c r="K119" s="47">
        <v>2</v>
      </c>
      <c r="L119" s="46">
        <v>2</v>
      </c>
      <c r="M119" s="47">
        <v>0</v>
      </c>
      <c r="N119" s="46">
        <v>2</v>
      </c>
      <c r="O119" s="47">
        <v>1</v>
      </c>
      <c r="P119" s="48">
        <v>12</v>
      </c>
    </row>
    <row r="120" ht="13.9" spans="1:16">
      <c r="A120" s="45" t="s">
        <v>25</v>
      </c>
      <c r="B120" s="46">
        <f t="shared" si="12"/>
        <v>9</v>
      </c>
      <c r="C120" s="47">
        <v>4</v>
      </c>
      <c r="D120" s="46">
        <v>4</v>
      </c>
      <c r="E120" s="47">
        <v>3</v>
      </c>
      <c r="F120" s="46">
        <v>2</v>
      </c>
      <c r="G120" s="47">
        <v>4</v>
      </c>
      <c r="H120" s="46">
        <v>9</v>
      </c>
      <c r="I120" s="47">
        <v>1</v>
      </c>
      <c r="J120" s="46">
        <v>3</v>
      </c>
      <c r="K120" s="47">
        <v>0</v>
      </c>
      <c r="L120" s="46">
        <v>0</v>
      </c>
      <c r="M120" s="47">
        <v>2</v>
      </c>
      <c r="N120" s="46">
        <v>2</v>
      </c>
      <c r="O120" s="47">
        <v>0</v>
      </c>
      <c r="P120" s="48">
        <v>10</v>
      </c>
    </row>
    <row r="121" ht="13.9" customHeight="1" spans="1:16">
      <c r="A121" s="49" t="s">
        <v>26</v>
      </c>
      <c r="B121" s="39" t="s">
        <v>0</v>
      </c>
      <c r="C121" s="39" t="s">
        <v>1</v>
      </c>
      <c r="D121" s="39" t="s">
        <v>2</v>
      </c>
      <c r="E121" s="39" t="s">
        <v>3</v>
      </c>
      <c r="F121" s="39" t="s">
        <v>4</v>
      </c>
      <c r="G121" s="39" t="s">
        <v>5</v>
      </c>
      <c r="H121" s="39" t="s">
        <v>6</v>
      </c>
      <c r="I121" s="39" t="s">
        <v>7</v>
      </c>
      <c r="J121" s="39" t="s">
        <v>8</v>
      </c>
      <c r="K121" s="39" t="s">
        <v>9</v>
      </c>
      <c r="L121" s="39" t="s">
        <v>10</v>
      </c>
      <c r="M121" s="39" t="s">
        <v>11</v>
      </c>
      <c r="N121" s="39" t="s">
        <v>12</v>
      </c>
      <c r="O121" s="39" t="s">
        <v>13</v>
      </c>
      <c r="P121" s="40" t="s">
        <v>14</v>
      </c>
    </row>
    <row r="122" ht="13.9" spans="1:16">
      <c r="A122" s="41" t="s">
        <v>27</v>
      </c>
      <c r="B122" s="46">
        <f t="shared" ref="B122:B130" si="13">G122*2+I122+K122</f>
        <v>31</v>
      </c>
      <c r="C122" s="43">
        <v>4</v>
      </c>
      <c r="D122" s="42">
        <v>0</v>
      </c>
      <c r="E122" s="43">
        <v>1</v>
      </c>
      <c r="F122" s="42">
        <v>1</v>
      </c>
      <c r="G122" s="43">
        <v>11</v>
      </c>
      <c r="H122" s="42">
        <v>25</v>
      </c>
      <c r="I122" s="43">
        <v>0</v>
      </c>
      <c r="J122" s="42">
        <v>0</v>
      </c>
      <c r="K122" s="43">
        <v>9</v>
      </c>
      <c r="L122" s="42">
        <v>10</v>
      </c>
      <c r="M122" s="43">
        <v>0</v>
      </c>
      <c r="N122" s="42">
        <v>1</v>
      </c>
      <c r="O122" s="43">
        <v>1</v>
      </c>
      <c r="P122" s="44">
        <v>-18</v>
      </c>
    </row>
    <row r="123" ht="13.9" spans="1:16">
      <c r="A123" s="45" t="s">
        <v>28</v>
      </c>
      <c r="B123" s="46">
        <f t="shared" si="13"/>
        <v>18</v>
      </c>
      <c r="C123" s="47">
        <v>5</v>
      </c>
      <c r="D123" s="46">
        <v>3</v>
      </c>
      <c r="E123" s="47">
        <v>1</v>
      </c>
      <c r="F123" s="46">
        <v>0</v>
      </c>
      <c r="G123" s="47">
        <v>5</v>
      </c>
      <c r="H123" s="46">
        <v>13</v>
      </c>
      <c r="I123" s="47">
        <v>0</v>
      </c>
      <c r="J123" s="46">
        <v>0</v>
      </c>
      <c r="K123" s="47">
        <v>8</v>
      </c>
      <c r="L123" s="46">
        <v>8</v>
      </c>
      <c r="M123" s="47">
        <v>0</v>
      </c>
      <c r="N123" s="46">
        <v>2</v>
      </c>
      <c r="O123" s="47">
        <v>3</v>
      </c>
      <c r="P123" s="48">
        <v>-16</v>
      </c>
    </row>
    <row r="124" ht="13.9" spans="1:16">
      <c r="A124" s="45" t="s">
        <v>29</v>
      </c>
      <c r="B124" s="46">
        <f t="shared" si="13"/>
        <v>5</v>
      </c>
      <c r="C124" s="47">
        <v>4</v>
      </c>
      <c r="D124" s="46">
        <v>1</v>
      </c>
      <c r="E124" s="47">
        <v>0</v>
      </c>
      <c r="F124" s="46">
        <v>0</v>
      </c>
      <c r="G124" s="47">
        <v>2</v>
      </c>
      <c r="H124" s="46">
        <v>12</v>
      </c>
      <c r="I124" s="47">
        <v>1</v>
      </c>
      <c r="J124" s="46">
        <v>6</v>
      </c>
      <c r="K124" s="47">
        <v>0</v>
      </c>
      <c r="L124" s="46">
        <v>0</v>
      </c>
      <c r="M124" s="47">
        <v>0</v>
      </c>
      <c r="N124" s="46">
        <v>2</v>
      </c>
      <c r="O124" s="47">
        <v>4</v>
      </c>
      <c r="P124" s="48">
        <v>-26</v>
      </c>
    </row>
    <row r="125" ht="13.9" spans="1:16">
      <c r="A125" s="45" t="s">
        <v>30</v>
      </c>
      <c r="B125" s="46">
        <f t="shared" si="13"/>
        <v>12</v>
      </c>
      <c r="C125" s="47">
        <v>3</v>
      </c>
      <c r="D125" s="46">
        <v>4</v>
      </c>
      <c r="E125" s="47">
        <v>3</v>
      </c>
      <c r="F125" s="46">
        <v>1</v>
      </c>
      <c r="G125" s="47">
        <v>4</v>
      </c>
      <c r="H125" s="46">
        <v>9</v>
      </c>
      <c r="I125" s="47">
        <v>0</v>
      </c>
      <c r="J125" s="46">
        <v>1</v>
      </c>
      <c r="K125" s="47">
        <v>4</v>
      </c>
      <c r="L125" s="46">
        <v>6</v>
      </c>
      <c r="M125" s="47">
        <v>1</v>
      </c>
      <c r="N125" s="46">
        <v>1</v>
      </c>
      <c r="O125" s="47">
        <v>1</v>
      </c>
      <c r="P125" s="48">
        <v>-16</v>
      </c>
    </row>
    <row r="126" ht="13.9" spans="1:16">
      <c r="A126" s="45" t="s">
        <v>31</v>
      </c>
      <c r="B126" s="46">
        <f t="shared" si="13"/>
        <v>0</v>
      </c>
      <c r="C126" s="47">
        <v>5</v>
      </c>
      <c r="D126" s="46">
        <v>1</v>
      </c>
      <c r="E126" s="47">
        <v>2</v>
      </c>
      <c r="F126" s="46">
        <v>0</v>
      </c>
      <c r="G126" s="47">
        <v>0</v>
      </c>
      <c r="H126" s="46">
        <v>0</v>
      </c>
      <c r="I126" s="47">
        <v>0</v>
      </c>
      <c r="J126" s="46">
        <v>0</v>
      </c>
      <c r="K126" s="47">
        <v>0</v>
      </c>
      <c r="L126" s="46">
        <v>4</v>
      </c>
      <c r="M126" s="47">
        <v>0</v>
      </c>
      <c r="N126" s="46">
        <v>6</v>
      </c>
      <c r="O126" s="47">
        <v>1</v>
      </c>
      <c r="P126" s="48">
        <v>-21</v>
      </c>
    </row>
    <row r="127" ht="13.9" spans="1:16">
      <c r="A127" s="45" t="s">
        <v>32</v>
      </c>
      <c r="B127" s="46">
        <f t="shared" si="13"/>
        <v>7</v>
      </c>
      <c r="C127" s="47">
        <v>4</v>
      </c>
      <c r="D127" s="46">
        <v>1</v>
      </c>
      <c r="E127" s="47">
        <v>0</v>
      </c>
      <c r="F127" s="46">
        <v>0</v>
      </c>
      <c r="G127" s="47">
        <v>3</v>
      </c>
      <c r="H127" s="46">
        <v>9</v>
      </c>
      <c r="I127" s="47">
        <v>1</v>
      </c>
      <c r="J127" s="46">
        <v>1</v>
      </c>
      <c r="K127" s="47">
        <v>0</v>
      </c>
      <c r="L127" s="46">
        <v>0</v>
      </c>
      <c r="M127" s="47">
        <v>1</v>
      </c>
      <c r="N127" s="46">
        <v>1</v>
      </c>
      <c r="O127" s="47">
        <v>2</v>
      </c>
      <c r="P127" s="48">
        <v>-14</v>
      </c>
    </row>
    <row r="128" ht="13.9" spans="1:16">
      <c r="A128" s="45" t="s">
        <v>33</v>
      </c>
      <c r="B128" s="46">
        <f t="shared" si="13"/>
        <v>9</v>
      </c>
      <c r="C128" s="47">
        <v>3</v>
      </c>
      <c r="D128" s="46">
        <v>2</v>
      </c>
      <c r="E128" s="47">
        <v>1</v>
      </c>
      <c r="F128" s="46">
        <v>0</v>
      </c>
      <c r="G128" s="47">
        <v>3</v>
      </c>
      <c r="H128" s="46">
        <v>11</v>
      </c>
      <c r="I128" s="47">
        <v>2</v>
      </c>
      <c r="J128" s="46">
        <v>4</v>
      </c>
      <c r="K128" s="47">
        <v>1</v>
      </c>
      <c r="L128" s="46">
        <v>2</v>
      </c>
      <c r="M128" s="47">
        <v>0</v>
      </c>
      <c r="N128" s="46">
        <v>4</v>
      </c>
      <c r="O128" s="47">
        <v>0</v>
      </c>
      <c r="P128" s="48">
        <v>-16</v>
      </c>
    </row>
    <row r="129" ht="13.9" spans="1:16">
      <c r="A129" s="45" t="s">
        <v>34</v>
      </c>
      <c r="B129" s="46">
        <f t="shared" si="13"/>
        <v>18</v>
      </c>
      <c r="C129" s="47">
        <v>5</v>
      </c>
      <c r="D129" s="46">
        <v>1</v>
      </c>
      <c r="E129" s="47">
        <v>0</v>
      </c>
      <c r="F129" s="46">
        <v>0</v>
      </c>
      <c r="G129" s="47">
        <v>8</v>
      </c>
      <c r="H129" s="46">
        <v>12</v>
      </c>
      <c r="I129" s="47">
        <v>1</v>
      </c>
      <c r="J129" s="46">
        <v>1</v>
      </c>
      <c r="K129" s="47">
        <v>1</v>
      </c>
      <c r="L129" s="46">
        <v>1</v>
      </c>
      <c r="M129" s="47">
        <v>2</v>
      </c>
      <c r="N129" s="46">
        <v>1</v>
      </c>
      <c r="O129" s="47">
        <v>0</v>
      </c>
      <c r="P129" s="48">
        <v>-16</v>
      </c>
    </row>
    <row r="130" ht="13.9" spans="1:16">
      <c r="A130" s="53" t="s">
        <v>35</v>
      </c>
      <c r="B130" s="46">
        <f t="shared" si="13"/>
        <v>11</v>
      </c>
      <c r="C130" s="59">
        <v>1</v>
      </c>
      <c r="D130" s="54">
        <v>4</v>
      </c>
      <c r="E130" s="59">
        <v>1</v>
      </c>
      <c r="F130" s="54">
        <v>0</v>
      </c>
      <c r="G130" s="59">
        <v>2</v>
      </c>
      <c r="H130" s="54">
        <v>4</v>
      </c>
      <c r="I130" s="59">
        <v>1</v>
      </c>
      <c r="J130" s="54">
        <v>1</v>
      </c>
      <c r="K130" s="59">
        <v>6</v>
      </c>
      <c r="L130" s="54">
        <v>6</v>
      </c>
      <c r="M130" s="59">
        <v>1</v>
      </c>
      <c r="N130" s="54">
        <v>1</v>
      </c>
      <c r="O130" s="59">
        <v>0</v>
      </c>
      <c r="P130" s="60">
        <v>-8</v>
      </c>
    </row>
    <row r="131" ht="13.85" spans="1:16">
      <c r="A131" s="50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2"/>
    </row>
    <row r="132" ht="13.9" spans="1:16">
      <c r="A132" s="45" t="s">
        <v>16</v>
      </c>
      <c r="B132" s="46">
        <f>G132*2+I132+K132</f>
        <v>136</v>
      </c>
      <c r="C132" s="46">
        <v>45</v>
      </c>
      <c r="D132" s="46">
        <v>40</v>
      </c>
      <c r="E132" s="46">
        <v>11</v>
      </c>
      <c r="F132" s="46">
        <v>14</v>
      </c>
      <c r="G132" s="46">
        <v>53</v>
      </c>
      <c r="H132" s="46">
        <v>98</v>
      </c>
      <c r="I132" s="46">
        <v>13</v>
      </c>
      <c r="J132" s="46">
        <v>26</v>
      </c>
      <c r="K132" s="46">
        <v>17</v>
      </c>
      <c r="L132" s="46">
        <v>22</v>
      </c>
      <c r="M132" s="46">
        <v>11</v>
      </c>
      <c r="N132" s="46">
        <v>15</v>
      </c>
      <c r="O132" s="46">
        <v>5</v>
      </c>
      <c r="P132" s="46"/>
    </row>
    <row r="133" ht="13.9" spans="1:16">
      <c r="A133" s="53" t="s">
        <v>26</v>
      </c>
      <c r="B133" s="46">
        <f>G133*2+I133+K133</f>
        <v>111</v>
      </c>
      <c r="C133" s="54">
        <f t="shared" ref="C133:O133" si="14">SUM(C122:C130)</f>
        <v>34</v>
      </c>
      <c r="D133" s="54">
        <f t="shared" si="14"/>
        <v>17</v>
      </c>
      <c r="E133" s="54">
        <f t="shared" si="14"/>
        <v>9</v>
      </c>
      <c r="F133" s="54">
        <f t="shared" si="14"/>
        <v>2</v>
      </c>
      <c r="G133" s="54">
        <f t="shared" si="14"/>
        <v>38</v>
      </c>
      <c r="H133" s="54">
        <f t="shared" si="14"/>
        <v>95</v>
      </c>
      <c r="I133" s="54">
        <f t="shared" si="14"/>
        <v>6</v>
      </c>
      <c r="J133" s="54">
        <f t="shared" si="14"/>
        <v>14</v>
      </c>
      <c r="K133" s="54">
        <f t="shared" si="14"/>
        <v>29</v>
      </c>
      <c r="L133" s="54">
        <f t="shared" si="14"/>
        <v>37</v>
      </c>
      <c r="M133" s="54">
        <f t="shared" si="14"/>
        <v>5</v>
      </c>
      <c r="N133" s="54">
        <f t="shared" si="14"/>
        <v>19</v>
      </c>
      <c r="O133" s="54">
        <f t="shared" si="14"/>
        <v>12</v>
      </c>
      <c r="P133" s="54"/>
    </row>
    <row r="136" ht="13.9" customHeight="1" spans="1:16">
      <c r="A136" s="49" t="s">
        <v>41</v>
      </c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40"/>
    </row>
    <row r="137" ht="13.9" customHeight="1" spans="1:16">
      <c r="A137" s="56" t="s">
        <v>16</v>
      </c>
      <c r="B137" s="57" t="s">
        <v>0</v>
      </c>
      <c r="C137" s="57" t="s">
        <v>1</v>
      </c>
      <c r="D137" s="57" t="s">
        <v>2</v>
      </c>
      <c r="E137" s="57" t="s">
        <v>3</v>
      </c>
      <c r="F137" s="57" t="s">
        <v>4</v>
      </c>
      <c r="G137" s="57" t="s">
        <v>5</v>
      </c>
      <c r="H137" s="57" t="s">
        <v>6</v>
      </c>
      <c r="I137" s="57" t="s">
        <v>7</v>
      </c>
      <c r="J137" s="57" t="s">
        <v>8</v>
      </c>
      <c r="K137" s="57" t="s">
        <v>9</v>
      </c>
      <c r="L137" s="57" t="s">
        <v>10</v>
      </c>
      <c r="M137" s="57" t="s">
        <v>11</v>
      </c>
      <c r="N137" s="57" t="s">
        <v>12</v>
      </c>
      <c r="O137" s="57" t="s">
        <v>13</v>
      </c>
      <c r="P137" s="58" t="s">
        <v>14</v>
      </c>
    </row>
    <row r="138" ht="13.9" spans="1:16">
      <c r="A138" s="41" t="s">
        <v>17</v>
      </c>
      <c r="B138" s="46">
        <f t="shared" ref="B138:B146" si="15">G138*2+I138+K138</f>
        <v>42</v>
      </c>
      <c r="C138" s="43">
        <v>7</v>
      </c>
      <c r="D138" s="42">
        <v>10</v>
      </c>
      <c r="E138" s="43">
        <v>2</v>
      </c>
      <c r="F138" s="42">
        <v>4</v>
      </c>
      <c r="G138" s="43">
        <v>18</v>
      </c>
      <c r="H138" s="42">
        <v>37</v>
      </c>
      <c r="I138" s="43">
        <v>4</v>
      </c>
      <c r="J138" s="42">
        <v>12</v>
      </c>
      <c r="K138" s="43">
        <v>2</v>
      </c>
      <c r="L138" s="42">
        <v>4</v>
      </c>
      <c r="M138" s="43">
        <v>1</v>
      </c>
      <c r="N138" s="42">
        <v>6</v>
      </c>
      <c r="O138" s="43">
        <v>3</v>
      </c>
      <c r="P138" s="44">
        <v>-5</v>
      </c>
    </row>
    <row r="139" ht="13.9" spans="1:16">
      <c r="A139" s="45" t="s">
        <v>18</v>
      </c>
      <c r="B139" s="46">
        <f t="shared" si="15"/>
        <v>27</v>
      </c>
      <c r="C139" s="47">
        <v>4</v>
      </c>
      <c r="D139" s="46">
        <v>4</v>
      </c>
      <c r="E139" s="47">
        <v>1</v>
      </c>
      <c r="F139" s="46">
        <v>1</v>
      </c>
      <c r="G139" s="47">
        <v>12</v>
      </c>
      <c r="H139" s="46">
        <v>20</v>
      </c>
      <c r="I139" s="47">
        <v>3</v>
      </c>
      <c r="J139" s="46">
        <v>5</v>
      </c>
      <c r="K139" s="47">
        <v>0</v>
      </c>
      <c r="L139" s="46">
        <v>0</v>
      </c>
      <c r="M139" s="47">
        <v>1</v>
      </c>
      <c r="N139" s="46">
        <v>6</v>
      </c>
      <c r="O139" s="47">
        <v>2</v>
      </c>
      <c r="P139" s="48">
        <v>4</v>
      </c>
    </row>
    <row r="140" ht="13.9" spans="1:16">
      <c r="A140" s="45" t="s">
        <v>19</v>
      </c>
      <c r="B140" s="46">
        <f t="shared" si="15"/>
        <v>18</v>
      </c>
      <c r="C140" s="47">
        <v>6</v>
      </c>
      <c r="D140" s="46">
        <v>12</v>
      </c>
      <c r="E140" s="47">
        <v>0</v>
      </c>
      <c r="F140" s="46">
        <v>0</v>
      </c>
      <c r="G140" s="47">
        <v>6</v>
      </c>
      <c r="H140" s="46">
        <v>17</v>
      </c>
      <c r="I140" s="47">
        <v>0</v>
      </c>
      <c r="J140" s="46">
        <v>2</v>
      </c>
      <c r="K140" s="47">
        <v>6</v>
      </c>
      <c r="L140" s="46">
        <v>7</v>
      </c>
      <c r="M140" s="47">
        <v>2</v>
      </c>
      <c r="N140" s="46">
        <v>3</v>
      </c>
      <c r="O140" s="47">
        <v>2</v>
      </c>
      <c r="P140" s="48">
        <v>-9</v>
      </c>
    </row>
    <row r="141" ht="13.9" spans="1:16">
      <c r="A141" s="45" t="s">
        <v>20</v>
      </c>
      <c r="B141" s="46">
        <f t="shared" si="15"/>
        <v>11</v>
      </c>
      <c r="C141" s="47">
        <v>8</v>
      </c>
      <c r="D141" s="46">
        <v>3</v>
      </c>
      <c r="E141" s="47">
        <v>0</v>
      </c>
      <c r="F141" s="46">
        <v>2</v>
      </c>
      <c r="G141" s="47">
        <v>5</v>
      </c>
      <c r="H141" s="46">
        <v>13</v>
      </c>
      <c r="I141" s="47">
        <v>0</v>
      </c>
      <c r="J141" s="46">
        <v>5</v>
      </c>
      <c r="K141" s="47">
        <v>1</v>
      </c>
      <c r="L141" s="46">
        <v>2</v>
      </c>
      <c r="M141" s="47">
        <v>3</v>
      </c>
      <c r="N141" s="46">
        <v>4</v>
      </c>
      <c r="O141" s="47">
        <v>0</v>
      </c>
      <c r="P141" s="48">
        <v>-10</v>
      </c>
    </row>
    <row r="142" ht="13.9" spans="1:16">
      <c r="A142" s="45" t="s">
        <v>21</v>
      </c>
      <c r="B142" s="46">
        <f t="shared" si="15"/>
        <v>12</v>
      </c>
      <c r="C142" s="47">
        <v>19</v>
      </c>
      <c r="D142" s="46">
        <v>2</v>
      </c>
      <c r="E142" s="47">
        <v>0</v>
      </c>
      <c r="F142" s="46">
        <v>1</v>
      </c>
      <c r="G142" s="47">
        <v>6</v>
      </c>
      <c r="H142" s="46">
        <v>14</v>
      </c>
      <c r="I142" s="47">
        <v>0</v>
      </c>
      <c r="J142" s="46">
        <v>1</v>
      </c>
      <c r="K142" s="47">
        <v>0</v>
      </c>
      <c r="L142" s="46">
        <v>0</v>
      </c>
      <c r="M142" s="47">
        <v>9</v>
      </c>
      <c r="N142" s="46">
        <v>1</v>
      </c>
      <c r="O142" s="47">
        <v>1</v>
      </c>
      <c r="P142" s="48">
        <v>-17</v>
      </c>
    </row>
    <row r="143" ht="13.9" spans="1:16">
      <c r="A143" s="45" t="s">
        <v>22</v>
      </c>
      <c r="B143" s="46">
        <f t="shared" si="15"/>
        <v>22</v>
      </c>
      <c r="C143" s="47">
        <v>3</v>
      </c>
      <c r="D143" s="46">
        <v>2</v>
      </c>
      <c r="E143" s="47">
        <v>1</v>
      </c>
      <c r="F143" s="46">
        <v>2</v>
      </c>
      <c r="G143" s="47">
        <v>8</v>
      </c>
      <c r="H143" s="46">
        <v>13</v>
      </c>
      <c r="I143" s="47">
        <v>4</v>
      </c>
      <c r="J143" s="46">
        <v>6</v>
      </c>
      <c r="K143" s="47">
        <v>2</v>
      </c>
      <c r="L143" s="46">
        <v>2</v>
      </c>
      <c r="M143" s="47">
        <v>0</v>
      </c>
      <c r="N143" s="46">
        <v>2</v>
      </c>
      <c r="O143" s="47">
        <v>1</v>
      </c>
      <c r="P143" s="48">
        <v>-10</v>
      </c>
    </row>
    <row r="144" ht="13.9" spans="1:16">
      <c r="A144" s="45" t="s">
        <v>23</v>
      </c>
      <c r="B144" s="46">
        <f t="shared" si="15"/>
        <v>0</v>
      </c>
      <c r="C144" s="47">
        <v>3</v>
      </c>
      <c r="D144" s="46">
        <v>7</v>
      </c>
      <c r="E144" s="47">
        <v>0</v>
      </c>
      <c r="F144" s="46">
        <v>0</v>
      </c>
      <c r="G144" s="47">
        <v>0</v>
      </c>
      <c r="H144" s="46">
        <v>3</v>
      </c>
      <c r="I144" s="47">
        <v>0</v>
      </c>
      <c r="J144" s="46">
        <v>1</v>
      </c>
      <c r="K144" s="47">
        <v>0</v>
      </c>
      <c r="L144" s="46">
        <v>0</v>
      </c>
      <c r="M144" s="47">
        <v>1</v>
      </c>
      <c r="N144" s="46">
        <v>1</v>
      </c>
      <c r="O144" s="47">
        <v>0</v>
      </c>
      <c r="P144" s="48">
        <v>4</v>
      </c>
    </row>
    <row r="145" ht="13.9" spans="1:16">
      <c r="A145" s="45" t="s">
        <v>24</v>
      </c>
      <c r="B145" s="46">
        <f t="shared" si="15"/>
        <v>7</v>
      </c>
      <c r="C145" s="47">
        <v>2</v>
      </c>
      <c r="D145" s="46">
        <v>0</v>
      </c>
      <c r="E145" s="47">
        <v>0</v>
      </c>
      <c r="F145" s="46">
        <v>0</v>
      </c>
      <c r="G145" s="47">
        <v>3</v>
      </c>
      <c r="H145" s="46">
        <v>5</v>
      </c>
      <c r="I145" s="47">
        <v>1</v>
      </c>
      <c r="J145" s="46">
        <v>3</v>
      </c>
      <c r="K145" s="47">
        <v>0</v>
      </c>
      <c r="L145" s="46">
        <v>0</v>
      </c>
      <c r="M145" s="47">
        <v>0</v>
      </c>
      <c r="N145" s="46">
        <v>0</v>
      </c>
      <c r="O145" s="47">
        <v>1</v>
      </c>
      <c r="P145" s="48">
        <v>4</v>
      </c>
    </row>
    <row r="146" ht="13.9" spans="1:16">
      <c r="A146" s="45" t="s">
        <v>25</v>
      </c>
      <c r="B146" s="46">
        <f t="shared" si="15"/>
        <v>0</v>
      </c>
      <c r="C146" s="47">
        <v>2</v>
      </c>
      <c r="D146" s="46">
        <v>0</v>
      </c>
      <c r="E146" s="47">
        <v>0</v>
      </c>
      <c r="F146" s="46">
        <v>0</v>
      </c>
      <c r="G146" s="47">
        <v>0</v>
      </c>
      <c r="H146" s="46">
        <v>1</v>
      </c>
      <c r="I146" s="47">
        <v>0</v>
      </c>
      <c r="J146" s="46">
        <v>1</v>
      </c>
      <c r="K146" s="47">
        <v>0</v>
      </c>
      <c r="L146" s="46">
        <v>0</v>
      </c>
      <c r="M146" s="47">
        <v>0</v>
      </c>
      <c r="N146" s="46">
        <v>0</v>
      </c>
      <c r="O146" s="47">
        <v>0</v>
      </c>
      <c r="P146" s="48">
        <v>5</v>
      </c>
    </row>
    <row r="147" ht="13.9" customHeight="1" spans="1:16">
      <c r="A147" s="49" t="s">
        <v>26</v>
      </c>
      <c r="B147" s="39" t="s">
        <v>0</v>
      </c>
      <c r="C147" s="39" t="s">
        <v>1</v>
      </c>
      <c r="D147" s="39" t="s">
        <v>2</v>
      </c>
      <c r="E147" s="39" t="s">
        <v>3</v>
      </c>
      <c r="F147" s="39" t="s">
        <v>4</v>
      </c>
      <c r="G147" s="39" t="s">
        <v>5</v>
      </c>
      <c r="H147" s="39" t="s">
        <v>6</v>
      </c>
      <c r="I147" s="39" t="s">
        <v>7</v>
      </c>
      <c r="J147" s="39" t="s">
        <v>8</v>
      </c>
      <c r="K147" s="39" t="s">
        <v>9</v>
      </c>
      <c r="L147" s="39" t="s">
        <v>10</v>
      </c>
      <c r="M147" s="39" t="s">
        <v>11</v>
      </c>
      <c r="N147" s="39" t="s">
        <v>12</v>
      </c>
      <c r="O147" s="39" t="s">
        <v>13</v>
      </c>
      <c r="P147" s="40" t="s">
        <v>14</v>
      </c>
    </row>
    <row r="148" ht="13.9" spans="1:16">
      <c r="A148" s="41" t="s">
        <v>27</v>
      </c>
      <c r="B148" s="46">
        <f t="shared" ref="B148:B156" si="16">G148*2+I148+K148</f>
        <v>17</v>
      </c>
      <c r="C148" s="43">
        <v>6</v>
      </c>
      <c r="D148" s="42">
        <v>2</v>
      </c>
      <c r="E148" s="43">
        <v>1</v>
      </c>
      <c r="F148" s="42">
        <v>1</v>
      </c>
      <c r="G148" s="43">
        <v>5</v>
      </c>
      <c r="H148" s="42">
        <v>14</v>
      </c>
      <c r="I148" s="43">
        <v>0</v>
      </c>
      <c r="J148" s="42">
        <v>0</v>
      </c>
      <c r="K148" s="43">
        <v>7</v>
      </c>
      <c r="L148" s="42">
        <v>7</v>
      </c>
      <c r="M148" s="43">
        <v>0</v>
      </c>
      <c r="N148" s="42">
        <v>6</v>
      </c>
      <c r="O148" s="43">
        <v>2</v>
      </c>
      <c r="P148" s="44">
        <v>8</v>
      </c>
    </row>
    <row r="149" ht="13.9" spans="1:16">
      <c r="A149" s="45" t="s">
        <v>28</v>
      </c>
      <c r="B149" s="46">
        <f t="shared" si="16"/>
        <v>51</v>
      </c>
      <c r="C149" s="47">
        <v>8</v>
      </c>
      <c r="D149" s="46">
        <v>8</v>
      </c>
      <c r="E149" s="47">
        <v>2</v>
      </c>
      <c r="F149" s="46">
        <v>4</v>
      </c>
      <c r="G149" s="47">
        <v>19</v>
      </c>
      <c r="H149" s="46">
        <v>36</v>
      </c>
      <c r="I149" s="47">
        <v>1</v>
      </c>
      <c r="J149" s="46">
        <v>3</v>
      </c>
      <c r="K149" s="47">
        <v>12</v>
      </c>
      <c r="L149" s="46">
        <v>13</v>
      </c>
      <c r="M149" s="47">
        <v>1</v>
      </c>
      <c r="N149" s="46">
        <v>2</v>
      </c>
      <c r="O149" s="47">
        <v>1</v>
      </c>
      <c r="P149" s="48">
        <v>14</v>
      </c>
    </row>
    <row r="150" ht="13.9" spans="1:16">
      <c r="A150" s="45" t="s">
        <v>29</v>
      </c>
      <c r="B150" s="46">
        <f t="shared" si="16"/>
        <v>48</v>
      </c>
      <c r="C150" s="47">
        <v>8</v>
      </c>
      <c r="D150" s="46">
        <v>2</v>
      </c>
      <c r="E150" s="47">
        <v>1</v>
      </c>
      <c r="F150" s="46">
        <v>1</v>
      </c>
      <c r="G150" s="47">
        <v>17</v>
      </c>
      <c r="H150" s="46">
        <v>20</v>
      </c>
      <c r="I150" s="47">
        <v>7</v>
      </c>
      <c r="J150" s="46">
        <v>8</v>
      </c>
      <c r="K150" s="47">
        <v>7</v>
      </c>
      <c r="L150" s="46">
        <v>7</v>
      </c>
      <c r="M150" s="47">
        <v>0</v>
      </c>
      <c r="N150" s="46">
        <v>4</v>
      </c>
      <c r="O150" s="47">
        <v>0</v>
      </c>
      <c r="P150" s="48">
        <v>10</v>
      </c>
    </row>
    <row r="151" ht="13.9" spans="1:16">
      <c r="A151" s="45" t="s">
        <v>30</v>
      </c>
      <c r="B151" s="46">
        <f t="shared" si="16"/>
        <v>22</v>
      </c>
      <c r="C151" s="47">
        <v>8</v>
      </c>
      <c r="D151" s="46">
        <v>6</v>
      </c>
      <c r="E151" s="47">
        <v>7</v>
      </c>
      <c r="F151" s="46">
        <v>0</v>
      </c>
      <c r="G151" s="47">
        <v>8</v>
      </c>
      <c r="H151" s="46">
        <v>10</v>
      </c>
      <c r="I151" s="47">
        <v>0</v>
      </c>
      <c r="J151" s="46">
        <v>0</v>
      </c>
      <c r="K151" s="47">
        <v>6</v>
      </c>
      <c r="L151" s="46">
        <v>9</v>
      </c>
      <c r="M151" s="47">
        <v>1</v>
      </c>
      <c r="N151" s="46">
        <v>1</v>
      </c>
      <c r="O151" s="47">
        <v>4</v>
      </c>
      <c r="P151" s="48">
        <v>8</v>
      </c>
    </row>
    <row r="152" ht="13.9" spans="1:16">
      <c r="A152" s="45" t="s">
        <v>31</v>
      </c>
      <c r="B152" s="46">
        <f t="shared" si="16"/>
        <v>3</v>
      </c>
      <c r="C152" s="47">
        <v>12</v>
      </c>
      <c r="D152" s="46">
        <v>6</v>
      </c>
      <c r="E152" s="47">
        <v>6</v>
      </c>
      <c r="F152" s="46">
        <v>0</v>
      </c>
      <c r="G152" s="47">
        <v>1</v>
      </c>
      <c r="H152" s="46">
        <v>2</v>
      </c>
      <c r="I152" s="47">
        <v>0</v>
      </c>
      <c r="J152" s="46">
        <v>0</v>
      </c>
      <c r="K152" s="47">
        <v>1</v>
      </c>
      <c r="L152" s="46">
        <v>6</v>
      </c>
      <c r="M152" s="47">
        <v>4</v>
      </c>
      <c r="N152" s="46">
        <v>0</v>
      </c>
      <c r="O152" s="47">
        <v>1</v>
      </c>
      <c r="P152" s="48">
        <v>14</v>
      </c>
    </row>
    <row r="153" ht="13.9" spans="1:16">
      <c r="A153" s="45" t="s">
        <v>32</v>
      </c>
      <c r="B153" s="46">
        <f t="shared" si="16"/>
        <v>10</v>
      </c>
      <c r="C153" s="47">
        <v>2</v>
      </c>
      <c r="D153" s="46">
        <v>1</v>
      </c>
      <c r="E153" s="47">
        <v>2</v>
      </c>
      <c r="F153" s="46">
        <v>0</v>
      </c>
      <c r="G153" s="47">
        <v>4</v>
      </c>
      <c r="H153" s="46">
        <v>8</v>
      </c>
      <c r="I153" s="47">
        <v>1</v>
      </c>
      <c r="J153" s="46">
        <v>4</v>
      </c>
      <c r="K153" s="47">
        <v>1</v>
      </c>
      <c r="L153" s="46">
        <v>2</v>
      </c>
      <c r="M153" s="47">
        <v>0</v>
      </c>
      <c r="N153" s="46">
        <v>0</v>
      </c>
      <c r="O153" s="47">
        <v>2</v>
      </c>
      <c r="P153" s="48">
        <v>-11</v>
      </c>
    </row>
    <row r="154" ht="13.9" spans="1:16">
      <c r="A154" s="45" t="s">
        <v>33</v>
      </c>
      <c r="B154" s="46">
        <f t="shared" si="16"/>
        <v>2</v>
      </c>
      <c r="C154" s="47">
        <v>3</v>
      </c>
      <c r="D154" s="46">
        <v>3</v>
      </c>
      <c r="E154" s="47">
        <v>1</v>
      </c>
      <c r="F154" s="46">
        <v>1</v>
      </c>
      <c r="G154" s="47">
        <v>1</v>
      </c>
      <c r="H154" s="46">
        <v>3</v>
      </c>
      <c r="I154" s="47">
        <v>0</v>
      </c>
      <c r="J154" s="46">
        <v>0</v>
      </c>
      <c r="K154" s="47">
        <v>0</v>
      </c>
      <c r="L154" s="46">
        <v>2</v>
      </c>
      <c r="M154" s="47">
        <v>0</v>
      </c>
      <c r="N154" s="46">
        <v>1</v>
      </c>
      <c r="O154" s="47">
        <v>5</v>
      </c>
      <c r="P154" s="48">
        <v>-5</v>
      </c>
    </row>
    <row r="155" ht="13.9" spans="1:16">
      <c r="A155" s="45" t="s">
        <v>34</v>
      </c>
      <c r="B155" s="46">
        <f t="shared" si="16"/>
        <v>2</v>
      </c>
      <c r="C155" s="47">
        <v>4</v>
      </c>
      <c r="D155" s="46">
        <v>0</v>
      </c>
      <c r="E155" s="47">
        <v>0</v>
      </c>
      <c r="F155" s="46">
        <v>0</v>
      </c>
      <c r="G155" s="47">
        <v>1</v>
      </c>
      <c r="H155" s="46">
        <v>2</v>
      </c>
      <c r="I155" s="47">
        <v>0</v>
      </c>
      <c r="J155" s="46">
        <v>0</v>
      </c>
      <c r="K155" s="47">
        <v>0</v>
      </c>
      <c r="L155" s="46">
        <v>0</v>
      </c>
      <c r="M155" s="47">
        <v>2</v>
      </c>
      <c r="N155" s="46">
        <v>2</v>
      </c>
      <c r="O155" s="47">
        <v>0</v>
      </c>
      <c r="P155" s="48">
        <v>-8</v>
      </c>
    </row>
    <row r="156" ht="13.9" spans="1:16">
      <c r="A156" s="53" t="s">
        <v>35</v>
      </c>
      <c r="B156" s="46">
        <f t="shared" si="16"/>
        <v>0</v>
      </c>
      <c r="C156" s="59">
        <v>0</v>
      </c>
      <c r="D156" s="54">
        <v>5</v>
      </c>
      <c r="E156" s="59">
        <v>0</v>
      </c>
      <c r="F156" s="54">
        <v>0</v>
      </c>
      <c r="G156" s="59">
        <v>0</v>
      </c>
      <c r="H156" s="54">
        <v>2</v>
      </c>
      <c r="I156" s="59">
        <v>0</v>
      </c>
      <c r="J156" s="54">
        <v>0</v>
      </c>
      <c r="K156" s="59">
        <v>0</v>
      </c>
      <c r="L156" s="54">
        <v>0</v>
      </c>
      <c r="M156" s="59">
        <v>0</v>
      </c>
      <c r="N156" s="54">
        <v>0</v>
      </c>
      <c r="O156" s="59">
        <v>0</v>
      </c>
      <c r="P156" s="60">
        <v>1</v>
      </c>
    </row>
    <row r="157" ht="13.85" spans="1:16">
      <c r="A157" s="50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2"/>
    </row>
    <row r="158" ht="13.9" spans="1:16">
      <c r="A158" s="45" t="s">
        <v>16</v>
      </c>
      <c r="B158" s="46">
        <f>G158*2+I158+K158</f>
        <v>139</v>
      </c>
      <c r="C158" s="46">
        <f t="shared" ref="C158:O158" si="17">SUM(C138:C146)</f>
        <v>54</v>
      </c>
      <c r="D158" s="46">
        <f t="shared" si="17"/>
        <v>40</v>
      </c>
      <c r="E158" s="46">
        <f t="shared" si="17"/>
        <v>4</v>
      </c>
      <c r="F158" s="46">
        <f t="shared" si="17"/>
        <v>10</v>
      </c>
      <c r="G158" s="46">
        <f t="shared" si="17"/>
        <v>58</v>
      </c>
      <c r="H158" s="46">
        <f t="shared" si="17"/>
        <v>123</v>
      </c>
      <c r="I158" s="46">
        <f t="shared" si="17"/>
        <v>12</v>
      </c>
      <c r="J158" s="46">
        <f t="shared" si="17"/>
        <v>36</v>
      </c>
      <c r="K158" s="46">
        <f t="shared" si="17"/>
        <v>11</v>
      </c>
      <c r="L158" s="46">
        <f t="shared" si="17"/>
        <v>15</v>
      </c>
      <c r="M158" s="46">
        <f t="shared" si="17"/>
        <v>17</v>
      </c>
      <c r="N158" s="46">
        <f t="shared" si="17"/>
        <v>23</v>
      </c>
      <c r="O158" s="46">
        <f t="shared" si="17"/>
        <v>10</v>
      </c>
      <c r="P158" s="46"/>
    </row>
    <row r="159" ht="13.9" spans="1:16">
      <c r="A159" s="53" t="s">
        <v>26</v>
      </c>
      <c r="B159" s="46">
        <f>G159*2+I159+K159</f>
        <v>155</v>
      </c>
      <c r="C159" s="54">
        <f t="shared" ref="C159:O159" si="18">SUM(C148:C156)</f>
        <v>51</v>
      </c>
      <c r="D159" s="54">
        <f t="shared" si="18"/>
        <v>33</v>
      </c>
      <c r="E159" s="54">
        <f t="shared" si="18"/>
        <v>20</v>
      </c>
      <c r="F159" s="54">
        <f t="shared" si="18"/>
        <v>7</v>
      </c>
      <c r="G159" s="54">
        <f t="shared" si="18"/>
        <v>56</v>
      </c>
      <c r="H159" s="54">
        <f t="shared" si="18"/>
        <v>97</v>
      </c>
      <c r="I159" s="54">
        <f t="shared" si="18"/>
        <v>9</v>
      </c>
      <c r="J159" s="54">
        <f t="shared" si="18"/>
        <v>15</v>
      </c>
      <c r="K159" s="54">
        <f t="shared" si="18"/>
        <v>34</v>
      </c>
      <c r="L159" s="54">
        <f t="shared" si="18"/>
        <v>46</v>
      </c>
      <c r="M159" s="54">
        <f t="shared" si="18"/>
        <v>8</v>
      </c>
      <c r="N159" s="54">
        <f t="shared" si="18"/>
        <v>16</v>
      </c>
      <c r="O159" s="54">
        <f t="shared" si="18"/>
        <v>15</v>
      </c>
      <c r="P159" s="54"/>
    </row>
    <row r="162" ht="13.9" customHeight="1" spans="1:16">
      <c r="A162" s="49" t="s">
        <v>42</v>
      </c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40"/>
    </row>
    <row r="163" ht="13.9" customHeight="1" spans="1:16">
      <c r="A163" s="56" t="s">
        <v>16</v>
      </c>
      <c r="B163" s="57" t="s">
        <v>0</v>
      </c>
      <c r="C163" s="57" t="s">
        <v>1</v>
      </c>
      <c r="D163" s="57" t="s">
        <v>2</v>
      </c>
      <c r="E163" s="57" t="s">
        <v>3</v>
      </c>
      <c r="F163" s="57" t="s">
        <v>4</v>
      </c>
      <c r="G163" s="57" t="s">
        <v>5</v>
      </c>
      <c r="H163" s="57" t="s">
        <v>6</v>
      </c>
      <c r="I163" s="57" t="s">
        <v>7</v>
      </c>
      <c r="J163" s="57" t="s">
        <v>8</v>
      </c>
      <c r="K163" s="57" t="s">
        <v>9</v>
      </c>
      <c r="L163" s="57" t="s">
        <v>10</v>
      </c>
      <c r="M163" s="57" t="s">
        <v>11</v>
      </c>
      <c r="N163" s="57" t="s">
        <v>12</v>
      </c>
      <c r="O163" s="57" t="s">
        <v>13</v>
      </c>
      <c r="P163" s="58" t="s">
        <v>14</v>
      </c>
    </row>
    <row r="164" ht="13.9" spans="1:16">
      <c r="A164" s="41" t="s">
        <v>17</v>
      </c>
      <c r="B164" s="46">
        <f t="shared" ref="B164:B172" si="19">G164*2+I164+K164</f>
        <v>30</v>
      </c>
      <c r="C164" s="43">
        <v>4</v>
      </c>
      <c r="D164" s="42">
        <v>17</v>
      </c>
      <c r="E164" s="43">
        <v>1</v>
      </c>
      <c r="F164" s="42">
        <v>0</v>
      </c>
      <c r="G164" s="43">
        <v>14</v>
      </c>
      <c r="H164" s="42">
        <v>26</v>
      </c>
      <c r="I164" s="43">
        <v>0</v>
      </c>
      <c r="J164" s="42">
        <v>7</v>
      </c>
      <c r="K164" s="43">
        <v>2</v>
      </c>
      <c r="L164" s="42">
        <v>4</v>
      </c>
      <c r="M164" s="43">
        <v>0</v>
      </c>
      <c r="N164" s="42">
        <v>5</v>
      </c>
      <c r="O164" s="43">
        <v>3</v>
      </c>
      <c r="P164" s="44">
        <v>-11</v>
      </c>
    </row>
    <row r="165" ht="13.9" spans="1:16">
      <c r="A165" s="45" t="s">
        <v>18</v>
      </c>
      <c r="B165" s="46">
        <f t="shared" si="19"/>
        <v>18</v>
      </c>
      <c r="C165" s="47">
        <v>4</v>
      </c>
      <c r="D165" s="46">
        <v>5</v>
      </c>
      <c r="E165" s="47">
        <v>0</v>
      </c>
      <c r="F165" s="46">
        <v>0</v>
      </c>
      <c r="G165" s="47">
        <v>7</v>
      </c>
      <c r="H165" s="46">
        <v>13</v>
      </c>
      <c r="I165" s="47">
        <v>2</v>
      </c>
      <c r="J165" s="46">
        <v>4</v>
      </c>
      <c r="K165" s="47">
        <v>2</v>
      </c>
      <c r="L165" s="46">
        <v>2</v>
      </c>
      <c r="M165" s="47">
        <v>1</v>
      </c>
      <c r="N165" s="46">
        <v>2</v>
      </c>
      <c r="O165" s="47">
        <v>0</v>
      </c>
      <c r="P165" s="48">
        <v>-8</v>
      </c>
    </row>
    <row r="166" ht="13.9" spans="1:16">
      <c r="A166" s="45" t="s">
        <v>19</v>
      </c>
      <c r="B166" s="46">
        <f t="shared" si="19"/>
        <v>22</v>
      </c>
      <c r="C166" s="47">
        <v>5</v>
      </c>
      <c r="D166" s="46">
        <v>7</v>
      </c>
      <c r="E166" s="47">
        <v>0</v>
      </c>
      <c r="F166" s="46">
        <v>1</v>
      </c>
      <c r="G166" s="47">
        <v>9</v>
      </c>
      <c r="H166" s="46">
        <v>14</v>
      </c>
      <c r="I166" s="47">
        <v>1</v>
      </c>
      <c r="J166" s="46">
        <v>1</v>
      </c>
      <c r="K166" s="47">
        <v>3</v>
      </c>
      <c r="L166" s="46">
        <v>6</v>
      </c>
      <c r="M166" s="47">
        <v>1</v>
      </c>
      <c r="N166" s="46">
        <v>2</v>
      </c>
      <c r="O166" s="47">
        <v>0</v>
      </c>
      <c r="P166" s="48">
        <v>-11</v>
      </c>
    </row>
    <row r="167" ht="13.9" spans="1:16">
      <c r="A167" s="45" t="s">
        <v>20</v>
      </c>
      <c r="B167" s="46">
        <f t="shared" si="19"/>
        <v>10</v>
      </c>
      <c r="C167" s="47">
        <v>7</v>
      </c>
      <c r="D167" s="46">
        <v>4</v>
      </c>
      <c r="E167" s="47">
        <v>0</v>
      </c>
      <c r="F167" s="46">
        <v>0</v>
      </c>
      <c r="G167" s="47">
        <v>4</v>
      </c>
      <c r="H167" s="46">
        <v>12</v>
      </c>
      <c r="I167" s="47">
        <v>1</v>
      </c>
      <c r="J167" s="46">
        <v>3</v>
      </c>
      <c r="K167" s="47">
        <v>1</v>
      </c>
      <c r="L167" s="46">
        <v>2</v>
      </c>
      <c r="M167" s="47">
        <v>0</v>
      </c>
      <c r="N167" s="46">
        <v>6</v>
      </c>
      <c r="O167" s="47">
        <v>1</v>
      </c>
      <c r="P167" s="48">
        <v>-11</v>
      </c>
    </row>
    <row r="168" ht="13.9" spans="1:16">
      <c r="A168" s="45" t="s">
        <v>21</v>
      </c>
      <c r="B168" s="46">
        <f t="shared" si="19"/>
        <v>21</v>
      </c>
      <c r="C168" s="47">
        <v>21</v>
      </c>
      <c r="D168" s="46">
        <v>3</v>
      </c>
      <c r="E168" s="47">
        <v>1</v>
      </c>
      <c r="F168" s="46">
        <v>1</v>
      </c>
      <c r="G168" s="47">
        <v>10</v>
      </c>
      <c r="H168" s="46">
        <v>15</v>
      </c>
      <c r="I168" s="47">
        <v>0</v>
      </c>
      <c r="J168" s="46">
        <v>0</v>
      </c>
      <c r="K168" s="47">
        <v>1</v>
      </c>
      <c r="L168" s="46">
        <v>2</v>
      </c>
      <c r="M168" s="47">
        <v>7</v>
      </c>
      <c r="N168" s="46">
        <v>3</v>
      </c>
      <c r="O168" s="47">
        <v>2</v>
      </c>
      <c r="P168" s="48">
        <v>-2</v>
      </c>
    </row>
    <row r="169" ht="13.9" spans="1:16">
      <c r="A169" s="45" t="s">
        <v>22</v>
      </c>
      <c r="B169" s="46">
        <f t="shared" si="19"/>
        <v>23</v>
      </c>
      <c r="C169" s="47">
        <v>1</v>
      </c>
      <c r="D169" s="46">
        <v>4</v>
      </c>
      <c r="E169" s="47">
        <v>0</v>
      </c>
      <c r="F169" s="46">
        <v>1</v>
      </c>
      <c r="G169" s="47">
        <v>10</v>
      </c>
      <c r="H169" s="46">
        <v>15</v>
      </c>
      <c r="I169" s="47">
        <v>2</v>
      </c>
      <c r="J169" s="46">
        <v>3</v>
      </c>
      <c r="K169" s="47">
        <v>1</v>
      </c>
      <c r="L169" s="46">
        <v>1</v>
      </c>
      <c r="M169" s="47">
        <v>0</v>
      </c>
      <c r="N169" s="46">
        <v>2</v>
      </c>
      <c r="O169" s="47">
        <v>2</v>
      </c>
      <c r="P169" s="48">
        <v>5</v>
      </c>
    </row>
    <row r="170" ht="13.9" spans="1:16">
      <c r="A170" s="45" t="s">
        <v>23</v>
      </c>
      <c r="B170" s="46">
        <f t="shared" si="19"/>
        <v>4</v>
      </c>
      <c r="C170" s="47">
        <v>1</v>
      </c>
      <c r="D170" s="46">
        <v>3</v>
      </c>
      <c r="E170" s="47">
        <v>0</v>
      </c>
      <c r="F170" s="46">
        <v>0</v>
      </c>
      <c r="G170" s="47">
        <v>2</v>
      </c>
      <c r="H170" s="46">
        <v>4</v>
      </c>
      <c r="I170" s="47">
        <v>0</v>
      </c>
      <c r="J170" s="46">
        <v>2</v>
      </c>
      <c r="K170" s="47">
        <v>0</v>
      </c>
      <c r="L170" s="46">
        <v>0</v>
      </c>
      <c r="M170" s="47">
        <v>0</v>
      </c>
      <c r="N170" s="46">
        <v>0</v>
      </c>
      <c r="O170" s="47">
        <v>0</v>
      </c>
      <c r="P170" s="48">
        <v>10</v>
      </c>
    </row>
    <row r="171" ht="13.9" spans="1:16">
      <c r="A171" s="45" t="s">
        <v>24</v>
      </c>
      <c r="B171" s="46">
        <f t="shared" si="19"/>
        <v>9</v>
      </c>
      <c r="C171" s="47">
        <v>0</v>
      </c>
      <c r="D171" s="46">
        <v>1</v>
      </c>
      <c r="E171" s="47">
        <v>0</v>
      </c>
      <c r="F171" s="46">
        <v>0</v>
      </c>
      <c r="G171" s="47">
        <v>4</v>
      </c>
      <c r="H171" s="46">
        <v>6</v>
      </c>
      <c r="I171" s="47">
        <v>1</v>
      </c>
      <c r="J171" s="46">
        <v>2</v>
      </c>
      <c r="K171" s="47">
        <v>0</v>
      </c>
      <c r="L171" s="46">
        <v>0</v>
      </c>
      <c r="M171" s="47">
        <v>0</v>
      </c>
      <c r="N171" s="46">
        <v>2</v>
      </c>
      <c r="O171" s="47">
        <v>0</v>
      </c>
      <c r="P171" s="48">
        <v>11</v>
      </c>
    </row>
    <row r="172" ht="13.9" spans="1:16">
      <c r="A172" s="45" t="s">
        <v>25</v>
      </c>
      <c r="B172" s="46">
        <f t="shared" si="19"/>
        <v>10</v>
      </c>
      <c r="C172" s="47">
        <v>3</v>
      </c>
      <c r="D172" s="46">
        <v>1</v>
      </c>
      <c r="E172" s="47">
        <v>0</v>
      </c>
      <c r="F172" s="46">
        <v>1</v>
      </c>
      <c r="G172" s="47">
        <v>4</v>
      </c>
      <c r="H172" s="46">
        <v>7</v>
      </c>
      <c r="I172" s="47">
        <v>2</v>
      </c>
      <c r="J172" s="46">
        <v>4</v>
      </c>
      <c r="K172" s="47">
        <v>0</v>
      </c>
      <c r="L172" s="46">
        <v>0</v>
      </c>
      <c r="M172" s="47">
        <v>1</v>
      </c>
      <c r="N172" s="46">
        <v>0</v>
      </c>
      <c r="O172" s="47">
        <v>0</v>
      </c>
      <c r="P172" s="48">
        <v>4</v>
      </c>
    </row>
    <row r="173" ht="13.9" customHeight="1" spans="1:16">
      <c r="A173" s="49" t="s">
        <v>26</v>
      </c>
      <c r="B173" s="39" t="s">
        <v>0</v>
      </c>
      <c r="C173" s="39" t="s">
        <v>1</v>
      </c>
      <c r="D173" s="39" t="s">
        <v>2</v>
      </c>
      <c r="E173" s="39" t="s">
        <v>3</v>
      </c>
      <c r="F173" s="39" t="s">
        <v>4</v>
      </c>
      <c r="G173" s="39" t="s">
        <v>5</v>
      </c>
      <c r="H173" s="39" t="s">
        <v>6</v>
      </c>
      <c r="I173" s="39" t="s">
        <v>7</v>
      </c>
      <c r="J173" s="39" t="s">
        <v>8</v>
      </c>
      <c r="K173" s="39" t="s">
        <v>9</v>
      </c>
      <c r="L173" s="39" t="s">
        <v>10</v>
      </c>
      <c r="M173" s="39" t="s">
        <v>11</v>
      </c>
      <c r="N173" s="39" t="s">
        <v>12</v>
      </c>
      <c r="O173" s="39" t="s">
        <v>13</v>
      </c>
      <c r="P173" s="40" t="s">
        <v>14</v>
      </c>
    </row>
    <row r="174" ht="13.9" spans="1:16">
      <c r="A174" s="41" t="s">
        <v>27</v>
      </c>
      <c r="B174" s="46">
        <f t="shared" ref="B174:B182" si="20">G174*2+I174+K174</f>
        <v>26</v>
      </c>
      <c r="C174" s="43">
        <v>4</v>
      </c>
      <c r="D174" s="42">
        <v>7</v>
      </c>
      <c r="E174" s="43">
        <v>1</v>
      </c>
      <c r="F174" s="42">
        <v>0</v>
      </c>
      <c r="G174" s="43">
        <v>8</v>
      </c>
      <c r="H174" s="42">
        <v>15</v>
      </c>
      <c r="I174" s="43">
        <v>0</v>
      </c>
      <c r="J174" s="42">
        <v>1</v>
      </c>
      <c r="K174" s="43">
        <v>10</v>
      </c>
      <c r="L174" s="42">
        <v>12</v>
      </c>
      <c r="M174" s="43">
        <v>0</v>
      </c>
      <c r="N174" s="42">
        <v>6</v>
      </c>
      <c r="O174" s="43">
        <v>0</v>
      </c>
      <c r="P174" s="44">
        <v>1</v>
      </c>
    </row>
    <row r="175" ht="13.9" spans="1:16">
      <c r="A175" s="45" t="s">
        <v>28</v>
      </c>
      <c r="B175" s="46">
        <f t="shared" si="20"/>
        <v>58</v>
      </c>
      <c r="C175" s="47">
        <v>7</v>
      </c>
      <c r="D175" s="46">
        <v>8</v>
      </c>
      <c r="E175" s="47">
        <v>2</v>
      </c>
      <c r="F175" s="46">
        <v>2</v>
      </c>
      <c r="G175" s="47">
        <v>20</v>
      </c>
      <c r="H175" s="46">
        <v>36</v>
      </c>
      <c r="I175" s="47">
        <v>8</v>
      </c>
      <c r="J175" s="46">
        <v>12</v>
      </c>
      <c r="K175" s="47">
        <v>10</v>
      </c>
      <c r="L175" s="46">
        <v>10</v>
      </c>
      <c r="M175" s="47">
        <v>2</v>
      </c>
      <c r="N175" s="46">
        <v>3</v>
      </c>
      <c r="O175" s="47">
        <v>2</v>
      </c>
      <c r="P175" s="48">
        <v>11</v>
      </c>
    </row>
    <row r="176" ht="13.9" spans="1:16">
      <c r="A176" s="45" t="s">
        <v>29</v>
      </c>
      <c r="B176" s="46">
        <f t="shared" si="20"/>
        <v>18</v>
      </c>
      <c r="C176" s="47">
        <v>7</v>
      </c>
      <c r="D176" s="46">
        <v>5</v>
      </c>
      <c r="E176" s="47">
        <v>3</v>
      </c>
      <c r="F176" s="46">
        <v>0</v>
      </c>
      <c r="G176" s="47">
        <v>7</v>
      </c>
      <c r="H176" s="46">
        <v>14</v>
      </c>
      <c r="I176" s="47">
        <v>4</v>
      </c>
      <c r="J176" s="46">
        <v>9</v>
      </c>
      <c r="K176" s="47">
        <v>0</v>
      </c>
      <c r="L176" s="46">
        <v>0</v>
      </c>
      <c r="M176" s="47">
        <v>0</v>
      </c>
      <c r="N176" s="46">
        <v>4</v>
      </c>
      <c r="O176" s="47">
        <v>0</v>
      </c>
      <c r="P176" s="48">
        <v>12</v>
      </c>
    </row>
    <row r="177" ht="13.9" spans="1:16">
      <c r="A177" s="45" t="s">
        <v>30</v>
      </c>
      <c r="B177" s="46">
        <f t="shared" si="20"/>
        <v>30</v>
      </c>
      <c r="C177" s="47">
        <v>12</v>
      </c>
      <c r="D177" s="46">
        <v>5</v>
      </c>
      <c r="E177" s="47">
        <v>1</v>
      </c>
      <c r="F177" s="46">
        <v>1</v>
      </c>
      <c r="G177" s="47">
        <v>12</v>
      </c>
      <c r="H177" s="46">
        <v>21</v>
      </c>
      <c r="I177" s="47">
        <v>0</v>
      </c>
      <c r="J177" s="46">
        <v>0</v>
      </c>
      <c r="K177" s="47">
        <v>6</v>
      </c>
      <c r="L177" s="46">
        <v>11</v>
      </c>
      <c r="M177" s="47">
        <v>5</v>
      </c>
      <c r="N177" s="46">
        <v>3</v>
      </c>
      <c r="O177" s="47">
        <v>2</v>
      </c>
      <c r="P177" s="48">
        <v>11</v>
      </c>
    </row>
    <row r="178" ht="13.9" spans="1:16">
      <c r="A178" s="45" t="s">
        <v>31</v>
      </c>
      <c r="B178" s="46">
        <f t="shared" si="20"/>
        <v>8</v>
      </c>
      <c r="C178" s="47">
        <v>8</v>
      </c>
      <c r="D178" s="46">
        <v>4</v>
      </c>
      <c r="E178" s="47">
        <v>7</v>
      </c>
      <c r="F178" s="46">
        <v>2</v>
      </c>
      <c r="G178" s="47">
        <v>4</v>
      </c>
      <c r="H178" s="46">
        <v>8</v>
      </c>
      <c r="I178" s="47">
        <v>0</v>
      </c>
      <c r="J178" s="46">
        <v>0</v>
      </c>
      <c r="K178" s="47">
        <v>0</v>
      </c>
      <c r="L178" s="46">
        <v>0</v>
      </c>
      <c r="M178" s="47">
        <v>1</v>
      </c>
      <c r="N178" s="46">
        <v>0</v>
      </c>
      <c r="O178" s="47">
        <v>0</v>
      </c>
      <c r="P178" s="48">
        <v>11</v>
      </c>
    </row>
    <row r="179" ht="13.9" spans="1:16">
      <c r="A179" s="45" t="s">
        <v>32</v>
      </c>
      <c r="B179" s="46">
        <f t="shared" si="20"/>
        <v>14</v>
      </c>
      <c r="C179" s="47">
        <v>3</v>
      </c>
      <c r="D179" s="46">
        <v>1</v>
      </c>
      <c r="E179" s="47">
        <v>1</v>
      </c>
      <c r="F179" s="46">
        <v>0</v>
      </c>
      <c r="G179" s="47">
        <v>5</v>
      </c>
      <c r="H179" s="46">
        <v>6</v>
      </c>
      <c r="I179" s="47">
        <v>1</v>
      </c>
      <c r="J179" s="46">
        <v>2</v>
      </c>
      <c r="K179" s="47">
        <v>3</v>
      </c>
      <c r="L179" s="46">
        <v>3</v>
      </c>
      <c r="M179" s="47">
        <v>0</v>
      </c>
      <c r="N179" s="46">
        <v>1</v>
      </c>
      <c r="O179" s="47">
        <v>3</v>
      </c>
      <c r="P179" s="48">
        <v>-8</v>
      </c>
    </row>
    <row r="180" ht="13.9" spans="1:16">
      <c r="A180" s="45" t="s">
        <v>33</v>
      </c>
      <c r="B180" s="46">
        <f t="shared" si="20"/>
        <v>2</v>
      </c>
      <c r="C180" s="47">
        <v>0</v>
      </c>
      <c r="D180" s="46">
        <v>3</v>
      </c>
      <c r="E180" s="47">
        <v>0</v>
      </c>
      <c r="F180" s="46">
        <v>0</v>
      </c>
      <c r="G180" s="47">
        <v>1</v>
      </c>
      <c r="H180" s="46">
        <v>2</v>
      </c>
      <c r="I180" s="47">
        <v>0</v>
      </c>
      <c r="J180" s="46">
        <v>0</v>
      </c>
      <c r="K180" s="47">
        <v>0</v>
      </c>
      <c r="L180" s="46">
        <v>0</v>
      </c>
      <c r="M180" s="47">
        <v>0</v>
      </c>
      <c r="N180" s="46">
        <v>1</v>
      </c>
      <c r="O180" s="47">
        <v>2</v>
      </c>
      <c r="P180" s="48">
        <v>-10</v>
      </c>
    </row>
    <row r="181" ht="13.9" spans="1:16">
      <c r="A181" s="45" t="s">
        <v>34</v>
      </c>
      <c r="B181" s="46">
        <f t="shared" si="20"/>
        <v>2</v>
      </c>
      <c r="C181" s="47">
        <v>1</v>
      </c>
      <c r="D181" s="46">
        <v>0</v>
      </c>
      <c r="E181" s="47">
        <v>0</v>
      </c>
      <c r="F181" s="46">
        <v>0</v>
      </c>
      <c r="G181" s="47">
        <v>1</v>
      </c>
      <c r="H181" s="46">
        <v>2</v>
      </c>
      <c r="I181" s="47">
        <v>0</v>
      </c>
      <c r="J181" s="46">
        <v>0</v>
      </c>
      <c r="K181" s="47">
        <v>0</v>
      </c>
      <c r="L181" s="46">
        <v>0</v>
      </c>
      <c r="M181" s="47">
        <v>0</v>
      </c>
      <c r="N181" s="46">
        <v>0</v>
      </c>
      <c r="O181" s="47">
        <v>2</v>
      </c>
      <c r="P181" s="48">
        <v>-8</v>
      </c>
    </row>
    <row r="182" ht="13.9" spans="1:16">
      <c r="A182" s="53" t="s">
        <v>35</v>
      </c>
      <c r="B182" s="46">
        <f t="shared" si="20"/>
        <v>0</v>
      </c>
      <c r="C182" s="59">
        <v>2</v>
      </c>
      <c r="D182" s="54">
        <v>3</v>
      </c>
      <c r="E182" s="59">
        <v>0</v>
      </c>
      <c r="F182" s="54">
        <v>0</v>
      </c>
      <c r="G182" s="59">
        <v>0</v>
      </c>
      <c r="H182" s="54">
        <v>1</v>
      </c>
      <c r="I182" s="59">
        <v>0</v>
      </c>
      <c r="J182" s="54">
        <v>1</v>
      </c>
      <c r="K182" s="59">
        <v>0</v>
      </c>
      <c r="L182" s="54">
        <v>2</v>
      </c>
      <c r="M182" s="59">
        <v>0</v>
      </c>
      <c r="N182" s="54">
        <v>0</v>
      </c>
      <c r="O182" s="59">
        <v>0</v>
      </c>
      <c r="P182" s="60">
        <v>-3</v>
      </c>
    </row>
    <row r="183" ht="13.85" spans="1:16">
      <c r="A183" s="50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2"/>
    </row>
    <row r="184" ht="13.9" spans="1:16">
      <c r="A184" s="45" t="s">
        <v>16</v>
      </c>
      <c r="B184" s="46">
        <f>G184*2+I184+K184</f>
        <v>157</v>
      </c>
      <c r="C184" s="46">
        <v>53</v>
      </c>
      <c r="D184" s="46">
        <v>46</v>
      </c>
      <c r="E184" s="46">
        <f>SUM(E164:E172)</f>
        <v>2</v>
      </c>
      <c r="F184" s="46">
        <v>8</v>
      </c>
      <c r="G184" s="46">
        <v>69</v>
      </c>
      <c r="H184" s="46">
        <v>123</v>
      </c>
      <c r="I184" s="46">
        <f>SUM(I164:I172)</f>
        <v>9</v>
      </c>
      <c r="J184" s="46">
        <f>SUM(J164:J172)</f>
        <v>26</v>
      </c>
      <c r="K184" s="46">
        <f>SUM(K164:K172)</f>
        <v>10</v>
      </c>
      <c r="L184" s="46">
        <f>SUM(L164:L172)</f>
        <v>17</v>
      </c>
      <c r="M184" s="46">
        <v>13</v>
      </c>
      <c r="N184" s="46">
        <f>SUM(N164:N172)</f>
        <v>22</v>
      </c>
      <c r="O184" s="46">
        <f>SUM(O164:O172)</f>
        <v>8</v>
      </c>
      <c r="P184" s="46"/>
    </row>
    <row r="185" ht="13.9" spans="1:16">
      <c r="A185" s="53" t="s">
        <v>26</v>
      </c>
      <c r="B185" s="46">
        <f>G185*2+I185+K185</f>
        <v>158</v>
      </c>
      <c r="C185" s="54">
        <f t="shared" ref="C185:O185" si="21">SUM(C174:C182)</f>
        <v>44</v>
      </c>
      <c r="D185" s="54">
        <f t="shared" si="21"/>
        <v>36</v>
      </c>
      <c r="E185" s="54">
        <f t="shared" si="21"/>
        <v>15</v>
      </c>
      <c r="F185" s="54">
        <f t="shared" si="21"/>
        <v>5</v>
      </c>
      <c r="G185" s="54">
        <f t="shared" si="21"/>
        <v>58</v>
      </c>
      <c r="H185" s="54">
        <f t="shared" si="21"/>
        <v>105</v>
      </c>
      <c r="I185" s="54">
        <f t="shared" si="21"/>
        <v>13</v>
      </c>
      <c r="J185" s="54">
        <f t="shared" si="21"/>
        <v>25</v>
      </c>
      <c r="K185" s="54">
        <f t="shared" si="21"/>
        <v>29</v>
      </c>
      <c r="L185" s="54">
        <f t="shared" si="21"/>
        <v>38</v>
      </c>
      <c r="M185" s="54">
        <f t="shared" si="21"/>
        <v>8</v>
      </c>
      <c r="N185" s="54">
        <f t="shared" si="21"/>
        <v>18</v>
      </c>
      <c r="O185" s="54">
        <f t="shared" si="21"/>
        <v>11</v>
      </c>
      <c r="P185" s="54"/>
    </row>
  </sheetData>
  <autoFilter xmlns:etc="http://www.wps.cn/officeDocument/2017/etCustomData" ref="A2:A18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0"/>
  <sheetViews>
    <sheetView tabSelected="1" zoomScale="70" zoomScaleNormal="70" topLeftCell="A262" workbookViewId="0">
      <selection activeCell="B278" sqref="B278"/>
    </sheetView>
  </sheetViews>
  <sheetFormatPr defaultColWidth="10" defaultRowHeight="13.5"/>
  <cols>
    <col min="1" max="1" width="16.6814159292035" style="1" customWidth="1"/>
    <col min="2" max="2" width="8.53982300884956" style="1" customWidth="1"/>
    <col min="3" max="3" width="7.46902654867257" style="1" customWidth="1"/>
    <col min="4" max="4" width="7.64601769911504" style="1" customWidth="1"/>
    <col min="5" max="5" width="7.82300884955752" style="1" customWidth="1"/>
    <col min="6" max="6" width="7.46902654867257" style="1" customWidth="1"/>
    <col min="7" max="7" width="8.70796460176991" style="1" customWidth="1"/>
    <col min="8" max="8" width="8.53982300884956" style="1" customWidth="1"/>
    <col min="9" max="9" width="7.82300884955752" style="1" customWidth="1"/>
    <col min="10" max="10" width="7.46902654867257" style="1" customWidth="1"/>
    <col min="11" max="12" width="8.53982300884956" style="1" customWidth="1"/>
    <col min="13" max="13" width="8.17699115044248" style="1" customWidth="1"/>
    <col min="14" max="15" width="7.46902654867257" style="1" customWidth="1"/>
    <col min="16" max="16" width="7.82300884955752" style="1" customWidth="1"/>
  </cols>
  <sheetData>
    <row r="1" ht="28.5" customHeight="1" spans="1:21">
      <c r="A1" s="21" t="s">
        <v>27</v>
      </c>
      <c r="U1" s="61" t="s">
        <v>43</v>
      </c>
    </row>
    <row r="2" ht="22.5" customHeight="1" spans="1:21">
      <c r="A2" s="2" t="s">
        <v>44</v>
      </c>
      <c r="B2" s="22" t="s">
        <v>45</v>
      </c>
      <c r="C2" s="22" t="s">
        <v>46</v>
      </c>
      <c r="D2" s="22" t="s">
        <v>47</v>
      </c>
      <c r="E2" s="22" t="s">
        <v>48</v>
      </c>
      <c r="F2" s="22" t="s">
        <v>49</v>
      </c>
      <c r="G2" s="22" t="s">
        <v>50</v>
      </c>
      <c r="H2" s="22" t="s">
        <v>51</v>
      </c>
      <c r="I2" s="22" t="s">
        <v>52</v>
      </c>
      <c r="J2" s="22" t="s">
        <v>53</v>
      </c>
      <c r="K2" s="22" t="s">
        <v>54</v>
      </c>
      <c r="L2" s="22" t="s">
        <v>55</v>
      </c>
      <c r="M2" s="22" t="s">
        <v>56</v>
      </c>
      <c r="N2" s="22" t="s">
        <v>57</v>
      </c>
      <c r="O2" s="22" t="s">
        <v>58</v>
      </c>
      <c r="P2" s="22" t="s">
        <v>59</v>
      </c>
      <c r="Q2" s="22" t="s">
        <v>60</v>
      </c>
      <c r="R2" s="22" t="s">
        <v>61</v>
      </c>
      <c r="S2" s="23" t="s">
        <v>62</v>
      </c>
      <c r="U2" s="61" t="s">
        <v>43</v>
      </c>
    </row>
    <row r="3" ht="22.5" customHeight="1" spans="1:21">
      <c r="A3" s="5" t="str">
        <f>'g1'!A14</f>
        <v>S.G.Alexander</v>
      </c>
      <c r="B3" s="24">
        <f>'g1'!B14</f>
        <v>53</v>
      </c>
      <c r="C3" s="25">
        <f>'g1'!C14</f>
        <v>2</v>
      </c>
      <c r="D3" s="25">
        <f>'g1'!D14</f>
        <v>4</v>
      </c>
      <c r="E3" s="25">
        <f>'g1'!E14</f>
        <v>2</v>
      </c>
      <c r="F3" s="25">
        <f>'g1'!F14</f>
        <v>1</v>
      </c>
      <c r="G3" s="25">
        <f>'g1'!G14</f>
        <v>17</v>
      </c>
      <c r="H3" s="25">
        <f>'g1'!H14</f>
        <v>24</v>
      </c>
      <c r="I3" s="26">
        <f t="shared" ref="I3:I10" si="0">IF(H3,G3/H3*100,U1)</f>
        <v>70.8333333333333</v>
      </c>
      <c r="J3" s="25">
        <f>'g1'!I14</f>
        <v>1</v>
      </c>
      <c r="K3" s="25">
        <f>'g1'!J14</f>
        <v>1</v>
      </c>
      <c r="L3" s="26">
        <f t="shared" ref="L3:L10" si="1">IF(K3,J3/K3*100,U1)</f>
        <v>100</v>
      </c>
      <c r="M3" s="25">
        <f>'g1'!K14</f>
        <v>18</v>
      </c>
      <c r="N3" s="25">
        <f>'g1'!L14</f>
        <v>18</v>
      </c>
      <c r="O3" s="26">
        <f t="shared" ref="O3:O10" si="2">IF(N3,M3/N3*100,U1)</f>
        <v>100</v>
      </c>
      <c r="P3" s="25">
        <f>'g1'!M14</f>
        <v>0</v>
      </c>
      <c r="Q3" s="25">
        <f>'g1'!N14</f>
        <v>5</v>
      </c>
      <c r="R3" s="25">
        <f>'g1'!O14</f>
        <v>2</v>
      </c>
      <c r="S3" s="27">
        <f>'g1'!P14</f>
        <v>13</v>
      </c>
      <c r="U3" s="61" t="s">
        <v>43</v>
      </c>
    </row>
    <row r="4" ht="22.5" customHeight="1" spans="1:21">
      <c r="A4" s="8" t="str">
        <f>'g1'!A41</f>
        <v>S.G.Alexander</v>
      </c>
      <c r="B4" s="28">
        <f>'g1'!B41</f>
        <v>76</v>
      </c>
      <c r="C4" s="29">
        <f>'g1'!C41</f>
        <v>5</v>
      </c>
      <c r="D4" s="29">
        <f>'g1'!D41</f>
        <v>5</v>
      </c>
      <c r="E4" s="29">
        <f>'g1'!E41</f>
        <v>3</v>
      </c>
      <c r="F4" s="29">
        <f>'g1'!F41</f>
        <v>7</v>
      </c>
      <c r="G4" s="29">
        <f>'g1'!G41</f>
        <v>24</v>
      </c>
      <c r="H4" s="29">
        <f>'g1'!H41</f>
        <v>40</v>
      </c>
      <c r="I4" s="30">
        <f t="shared" si="0"/>
        <v>60</v>
      </c>
      <c r="J4" s="29">
        <f>'g1'!I41</f>
        <v>0</v>
      </c>
      <c r="K4" s="29">
        <f>'g1'!J41</f>
        <v>0</v>
      </c>
      <c r="L4" s="62" t="str">
        <f t="shared" si="1"/>
        <v>---</v>
      </c>
      <c r="M4" s="29">
        <f>'g1'!K41</f>
        <v>28</v>
      </c>
      <c r="N4" s="29">
        <f>'g1'!L41</f>
        <v>28</v>
      </c>
      <c r="O4" s="30">
        <f t="shared" si="2"/>
        <v>100</v>
      </c>
      <c r="P4" s="29">
        <f>'g1'!M41</f>
        <v>1</v>
      </c>
      <c r="Q4" s="29">
        <f>'g1'!N41</f>
        <v>5</v>
      </c>
      <c r="R4" s="29">
        <f>'g1'!O41</f>
        <v>4</v>
      </c>
      <c r="S4" s="31">
        <f>'g1'!P41</f>
        <v>20</v>
      </c>
      <c r="U4" s="61" t="s">
        <v>43</v>
      </c>
    </row>
    <row r="5" ht="22.5" customHeight="1" spans="1:21">
      <c r="A5" s="8" t="str">
        <f>'g1'!A68</f>
        <v>S.G.Alexander</v>
      </c>
      <c r="B5" s="32">
        <f>'g1'!B68</f>
        <v>29</v>
      </c>
      <c r="C5" s="33">
        <f>'g1'!C68</f>
        <v>9</v>
      </c>
      <c r="D5" s="33">
        <f>'g1'!D68</f>
        <v>9</v>
      </c>
      <c r="E5" s="33">
        <f>'g1'!E68</f>
        <v>4</v>
      </c>
      <c r="F5" s="33">
        <f>'g1'!F68</f>
        <v>3</v>
      </c>
      <c r="G5" s="33">
        <f>'g1'!G68</f>
        <v>8</v>
      </c>
      <c r="H5" s="33">
        <f>'g1'!H68</f>
        <v>18</v>
      </c>
      <c r="I5" s="34">
        <f t="shared" si="0"/>
        <v>44.4444444444444</v>
      </c>
      <c r="J5" s="33">
        <f>'g1'!I68</f>
        <v>0</v>
      </c>
      <c r="K5" s="33">
        <f>'g1'!J68</f>
        <v>1</v>
      </c>
      <c r="L5" s="34">
        <f t="shared" si="1"/>
        <v>0</v>
      </c>
      <c r="M5" s="33">
        <f>'g1'!K68</f>
        <v>13</v>
      </c>
      <c r="N5" s="33">
        <f>'g1'!L68</f>
        <v>15</v>
      </c>
      <c r="O5" s="34">
        <f t="shared" si="2"/>
        <v>86.6666666666667</v>
      </c>
      <c r="P5" s="33">
        <f>'g1'!M68</f>
        <v>2</v>
      </c>
      <c r="Q5" s="33">
        <f>'g1'!N68</f>
        <v>6</v>
      </c>
      <c r="R5" s="33">
        <f>'g1'!O68</f>
        <v>5</v>
      </c>
      <c r="S5" s="35">
        <f>'g1'!P68</f>
        <v>10</v>
      </c>
      <c r="U5" s="61" t="s">
        <v>43</v>
      </c>
    </row>
    <row r="6" ht="22.5" customHeight="1" spans="1:21">
      <c r="A6" s="8" t="str">
        <f>'g1'!A95</f>
        <v>S.G.Alexander</v>
      </c>
      <c r="B6" s="28">
        <f>'g1'!B95</f>
        <v>47</v>
      </c>
      <c r="C6" s="29">
        <f>'g1'!C95</f>
        <v>1</v>
      </c>
      <c r="D6" s="29">
        <f>'g1'!D95</f>
        <v>1</v>
      </c>
      <c r="E6" s="29">
        <f>'g1'!E95</f>
        <v>0</v>
      </c>
      <c r="F6" s="29">
        <f>'g1'!F95</f>
        <v>1</v>
      </c>
      <c r="G6" s="29">
        <f>'g1'!G95</f>
        <v>20</v>
      </c>
      <c r="H6" s="29">
        <f>'g1'!H95</f>
        <v>29</v>
      </c>
      <c r="I6" s="30">
        <f t="shared" si="0"/>
        <v>68.9655172413793</v>
      </c>
      <c r="J6" s="29">
        <f>'g1'!I95</f>
        <v>0</v>
      </c>
      <c r="K6" s="29">
        <f>'g1'!J95</f>
        <v>0</v>
      </c>
      <c r="L6" s="62" t="str">
        <f t="shared" si="1"/>
        <v>---</v>
      </c>
      <c r="M6" s="29">
        <f>'g1'!K95</f>
        <v>7</v>
      </c>
      <c r="N6" s="29">
        <f>'g1'!L95</f>
        <v>8</v>
      </c>
      <c r="O6" s="30">
        <f t="shared" si="2"/>
        <v>87.5</v>
      </c>
      <c r="P6" s="29">
        <f>'g1'!M95</f>
        <v>1</v>
      </c>
      <c r="Q6" s="29">
        <f>'g1'!N95</f>
        <v>5</v>
      </c>
      <c r="R6" s="29">
        <f>'g1'!O95</f>
        <v>4</v>
      </c>
      <c r="S6" s="31">
        <f>'g1'!P95</f>
        <v>-13</v>
      </c>
      <c r="U6" s="61" t="s">
        <v>43</v>
      </c>
    </row>
    <row r="7" ht="22.5" customHeight="1" spans="1:21">
      <c r="A7" s="8" t="str">
        <f>'g1'!A122</f>
        <v>S.G.Alexander</v>
      </c>
      <c r="B7" s="32">
        <f>'g1'!B122</f>
        <v>31</v>
      </c>
      <c r="C7" s="33">
        <f>'g1'!C122</f>
        <v>4</v>
      </c>
      <c r="D7" s="33">
        <f>'g1'!D122</f>
        <v>0</v>
      </c>
      <c r="E7" s="33">
        <f>'g1'!E122</f>
        <v>1</v>
      </c>
      <c r="F7" s="33">
        <f>'g1'!F122</f>
        <v>1</v>
      </c>
      <c r="G7" s="33">
        <f>'g1'!G122</f>
        <v>11</v>
      </c>
      <c r="H7" s="33">
        <f>'g1'!H122</f>
        <v>25</v>
      </c>
      <c r="I7" s="34">
        <f t="shared" si="0"/>
        <v>44</v>
      </c>
      <c r="J7" s="33">
        <f>'g1'!I122</f>
        <v>0</v>
      </c>
      <c r="K7" s="33">
        <f>'g1'!J122</f>
        <v>0</v>
      </c>
      <c r="L7" s="63" t="str">
        <f t="shared" si="1"/>
        <v>---</v>
      </c>
      <c r="M7" s="33">
        <f>'g1'!K122</f>
        <v>9</v>
      </c>
      <c r="N7" s="33">
        <f>'g1'!L122</f>
        <v>10</v>
      </c>
      <c r="O7" s="34">
        <f t="shared" si="2"/>
        <v>90</v>
      </c>
      <c r="P7" s="33">
        <f>'g1'!M122</f>
        <v>0</v>
      </c>
      <c r="Q7" s="33">
        <f>'g1'!N122</f>
        <v>1</v>
      </c>
      <c r="R7" s="33">
        <f>'g1'!O122</f>
        <v>1</v>
      </c>
      <c r="S7" s="35">
        <f>'g1'!P122</f>
        <v>-18</v>
      </c>
      <c r="U7" s="61" t="s">
        <v>43</v>
      </c>
    </row>
    <row r="8" ht="22.5" customHeight="1" spans="1:21">
      <c r="A8" s="8" t="str">
        <f>'g1'!A148</f>
        <v>S.G.Alexander</v>
      </c>
      <c r="B8" s="28">
        <f>'g1'!B148</f>
        <v>17</v>
      </c>
      <c r="C8" s="29">
        <f>'g1'!C148</f>
        <v>6</v>
      </c>
      <c r="D8" s="29">
        <f>'g1'!D148</f>
        <v>2</v>
      </c>
      <c r="E8" s="29">
        <f>'g1'!E148</f>
        <v>1</v>
      </c>
      <c r="F8" s="29">
        <f>'g1'!F148</f>
        <v>1</v>
      </c>
      <c r="G8" s="29">
        <f>'g1'!G148</f>
        <v>5</v>
      </c>
      <c r="H8" s="29">
        <f>'g1'!H148</f>
        <v>14</v>
      </c>
      <c r="I8" s="30">
        <f t="shared" si="0"/>
        <v>35.7142857142857</v>
      </c>
      <c r="J8" s="29">
        <f>'g1'!I148</f>
        <v>0</v>
      </c>
      <c r="K8" s="29">
        <f>'g1'!J148</f>
        <v>0</v>
      </c>
      <c r="L8" s="62" t="str">
        <f t="shared" si="1"/>
        <v>---</v>
      </c>
      <c r="M8" s="29">
        <f>'g1'!K148</f>
        <v>7</v>
      </c>
      <c r="N8" s="29">
        <f>'g1'!L148</f>
        <v>7</v>
      </c>
      <c r="O8" s="30">
        <f t="shared" si="2"/>
        <v>100</v>
      </c>
      <c r="P8" s="29">
        <f>'g1'!M148</f>
        <v>0</v>
      </c>
      <c r="Q8" s="29">
        <f>'g1'!N148</f>
        <v>6</v>
      </c>
      <c r="R8" s="29">
        <f>'g1'!O148</f>
        <v>2</v>
      </c>
      <c r="S8" s="31">
        <f>'g1'!P148</f>
        <v>8</v>
      </c>
      <c r="U8" s="61" t="s">
        <v>43</v>
      </c>
    </row>
    <row r="9" ht="22.5" customHeight="1" spans="1:21">
      <c r="A9" s="8" t="str">
        <f>'g1'!A174</f>
        <v>S.G.Alexander</v>
      </c>
      <c r="B9" s="32">
        <f>'g1'!B174</f>
        <v>26</v>
      </c>
      <c r="C9" s="33">
        <f>'g1'!C174</f>
        <v>4</v>
      </c>
      <c r="D9" s="33">
        <f>'g1'!D174</f>
        <v>7</v>
      </c>
      <c r="E9" s="33">
        <f>'g1'!E174</f>
        <v>1</v>
      </c>
      <c r="F9" s="33">
        <f>'g1'!F174</f>
        <v>0</v>
      </c>
      <c r="G9" s="33">
        <f>'g1'!G174</f>
        <v>8</v>
      </c>
      <c r="H9" s="33">
        <f>'g1'!H174</f>
        <v>15</v>
      </c>
      <c r="I9" s="34">
        <f t="shared" si="0"/>
        <v>53.3333333333333</v>
      </c>
      <c r="J9" s="33">
        <f>'g1'!I174</f>
        <v>0</v>
      </c>
      <c r="K9" s="33">
        <f>'g1'!J174</f>
        <v>1</v>
      </c>
      <c r="L9" s="34">
        <f t="shared" si="1"/>
        <v>0</v>
      </c>
      <c r="M9" s="33">
        <f>'g1'!K174</f>
        <v>10</v>
      </c>
      <c r="N9" s="33">
        <f>'g1'!L174</f>
        <v>12</v>
      </c>
      <c r="O9" s="34">
        <f t="shared" si="2"/>
        <v>83.3333333333333</v>
      </c>
      <c r="P9" s="33">
        <f>'g1'!M174</f>
        <v>0</v>
      </c>
      <c r="Q9" s="33">
        <f>'g1'!N174</f>
        <v>6</v>
      </c>
      <c r="R9" s="33">
        <f>'g1'!O174</f>
        <v>0</v>
      </c>
      <c r="S9" s="35">
        <f>'g1'!P174</f>
        <v>1</v>
      </c>
      <c r="U9" s="61" t="s">
        <v>43</v>
      </c>
    </row>
    <row r="10" ht="22.5" customHeight="1" spans="1:21">
      <c r="A10" s="17" t="s">
        <v>63</v>
      </c>
      <c r="B10" s="18">
        <f t="shared" ref="B10:H10" si="3">AVERAGE(B3:B9)</f>
        <v>39.8571428571429</v>
      </c>
      <c r="C10" s="19">
        <f t="shared" si="3"/>
        <v>4.42857142857143</v>
      </c>
      <c r="D10" s="19">
        <f t="shared" si="3"/>
        <v>4</v>
      </c>
      <c r="E10" s="19">
        <f t="shared" si="3"/>
        <v>1.71428571428571</v>
      </c>
      <c r="F10" s="19">
        <f t="shared" si="3"/>
        <v>2</v>
      </c>
      <c r="G10" s="19">
        <f t="shared" si="3"/>
        <v>13.2857142857143</v>
      </c>
      <c r="H10" s="19">
        <f t="shared" si="3"/>
        <v>23.5714285714286</v>
      </c>
      <c r="I10" s="36">
        <f t="shared" si="0"/>
        <v>56.3636363636364</v>
      </c>
      <c r="J10" s="19">
        <f>AVERAGE(J3:J9)</f>
        <v>0.142857142857143</v>
      </c>
      <c r="K10" s="19">
        <f>AVERAGE(K3:K9)</f>
        <v>0.428571428571429</v>
      </c>
      <c r="L10" s="36">
        <f t="shared" si="1"/>
        <v>33.3333333333333</v>
      </c>
      <c r="M10" s="19">
        <f>AVERAGE(M3:M9)</f>
        <v>13.1428571428571</v>
      </c>
      <c r="N10" s="19">
        <f>AVERAGE(N3:N9)</f>
        <v>14</v>
      </c>
      <c r="O10" s="36">
        <f t="shared" si="2"/>
        <v>93.8775510204082</v>
      </c>
      <c r="P10" s="19">
        <f>AVERAGE(P3:P9)</f>
        <v>0.571428571428571</v>
      </c>
      <c r="Q10" s="19">
        <f>AVERAGE(Q3:Q9)</f>
        <v>4.85714285714286</v>
      </c>
      <c r="R10" s="19">
        <f>AVERAGE(R3:R9)</f>
        <v>2.57142857142857</v>
      </c>
      <c r="S10" s="20">
        <f>AVERAGE(S3:S9)</f>
        <v>3</v>
      </c>
      <c r="U10" s="61" t="s">
        <v>43</v>
      </c>
    </row>
    <row r="11" ht="28.5" customHeight="1" spans="1:21">
      <c r="A11" s="21" t="s">
        <v>28</v>
      </c>
      <c r="U11" s="61" t="s">
        <v>43</v>
      </c>
    </row>
    <row r="12" ht="22.5" customHeight="1" spans="1:21">
      <c r="A12" s="2" t="s">
        <v>44</v>
      </c>
      <c r="B12" s="22" t="s">
        <v>45</v>
      </c>
      <c r="C12" s="22" t="s">
        <v>46</v>
      </c>
      <c r="D12" s="22" t="s">
        <v>47</v>
      </c>
      <c r="E12" s="22" t="s">
        <v>48</v>
      </c>
      <c r="F12" s="22" t="s">
        <v>49</v>
      </c>
      <c r="G12" s="22" t="s">
        <v>50</v>
      </c>
      <c r="H12" s="22" t="s">
        <v>51</v>
      </c>
      <c r="I12" s="22" t="s">
        <v>52</v>
      </c>
      <c r="J12" s="22" t="s">
        <v>53</v>
      </c>
      <c r="K12" s="22" t="s">
        <v>54</v>
      </c>
      <c r="L12" s="22" t="s">
        <v>55</v>
      </c>
      <c r="M12" s="22" t="s">
        <v>56</v>
      </c>
      <c r="N12" s="22" t="s">
        <v>57</v>
      </c>
      <c r="O12" s="22" t="s">
        <v>58</v>
      </c>
      <c r="P12" s="22" t="s">
        <v>59</v>
      </c>
      <c r="Q12" s="22" t="s">
        <v>60</v>
      </c>
      <c r="R12" s="22" t="s">
        <v>61</v>
      </c>
      <c r="S12" s="23" t="s">
        <v>62</v>
      </c>
      <c r="U12" s="61" t="s">
        <v>43</v>
      </c>
    </row>
    <row r="13" ht="22.5" customHeight="1" spans="1:21">
      <c r="A13" s="5" t="str">
        <f>'g1'!A15</f>
        <v>D.Mitchell</v>
      </c>
      <c r="B13" s="24">
        <f>'g1'!B15</f>
        <v>34</v>
      </c>
      <c r="C13" s="25">
        <f>'g1'!C15</f>
        <v>4</v>
      </c>
      <c r="D13" s="25">
        <f>'g1'!D15</f>
        <v>6</v>
      </c>
      <c r="E13" s="25">
        <f>'g1'!E15</f>
        <v>1</v>
      </c>
      <c r="F13" s="25">
        <f>'g1'!F15</f>
        <v>1</v>
      </c>
      <c r="G13" s="25">
        <f>'g1'!G15</f>
        <v>12</v>
      </c>
      <c r="H13" s="25">
        <f>'g1'!H15</f>
        <v>21</v>
      </c>
      <c r="I13" s="26">
        <f t="shared" ref="I13:I20" si="4">IF(H13,G13/H13*100,U11)</f>
        <v>57.1428571428571</v>
      </c>
      <c r="J13" s="25">
        <f>'g1'!I15</f>
        <v>0</v>
      </c>
      <c r="K13" s="25">
        <f>'g1'!J15</f>
        <v>1</v>
      </c>
      <c r="L13" s="26">
        <f t="shared" ref="L13:L20" si="5">IF(K13,J13/K13*100,U11)</f>
        <v>0</v>
      </c>
      <c r="M13" s="25">
        <f>'g1'!K15</f>
        <v>10</v>
      </c>
      <c r="N13" s="25">
        <f>'g1'!L15</f>
        <v>10</v>
      </c>
      <c r="O13" s="26">
        <f t="shared" ref="O13:O20" si="6">IF(N13,M13/N13*100,U11)</f>
        <v>100</v>
      </c>
      <c r="P13" s="25">
        <f>'g1'!M15</f>
        <v>0</v>
      </c>
      <c r="Q13" s="25">
        <f>'g1'!N15</f>
        <v>5</v>
      </c>
      <c r="R13" s="25">
        <f>'g1'!O15</f>
        <v>2</v>
      </c>
      <c r="S13" s="27">
        <f>'g1'!P15</f>
        <v>9</v>
      </c>
      <c r="U13" s="61" t="s">
        <v>43</v>
      </c>
    </row>
    <row r="14" ht="22.5" customHeight="1" spans="1:21">
      <c r="A14" s="5" t="str">
        <f>'g1'!A42</f>
        <v>D.Mitchell</v>
      </c>
      <c r="B14" s="24">
        <f>'g1'!B42</f>
        <v>29</v>
      </c>
      <c r="C14" s="25">
        <f>'g1'!C42</f>
        <v>5</v>
      </c>
      <c r="D14" s="25">
        <f>'g1'!D42</f>
        <v>13</v>
      </c>
      <c r="E14" s="25">
        <f>'g1'!E42</f>
        <v>3</v>
      </c>
      <c r="F14" s="25">
        <f>'g1'!F42</f>
        <v>2</v>
      </c>
      <c r="G14" s="25">
        <f>'g1'!G42</f>
        <v>10</v>
      </c>
      <c r="H14" s="25">
        <f>'g1'!H42</f>
        <v>30</v>
      </c>
      <c r="I14" s="26">
        <f t="shared" si="4"/>
        <v>33.3333333333333</v>
      </c>
      <c r="J14" s="25">
        <f>'g1'!I42</f>
        <v>1</v>
      </c>
      <c r="K14" s="25">
        <f>'g1'!J42</f>
        <v>2</v>
      </c>
      <c r="L14" s="26">
        <f t="shared" si="5"/>
        <v>50</v>
      </c>
      <c r="M14" s="25">
        <f>'g1'!K42</f>
        <v>8</v>
      </c>
      <c r="N14" s="25">
        <f>'g1'!L42</f>
        <v>11</v>
      </c>
      <c r="O14" s="26">
        <f t="shared" si="6"/>
        <v>72.7272727272727</v>
      </c>
      <c r="P14" s="25">
        <f>'g1'!M42</f>
        <v>1</v>
      </c>
      <c r="Q14" s="25">
        <f>'g1'!N42</f>
        <v>6</v>
      </c>
      <c r="R14" s="25">
        <f>'g1'!O42</f>
        <v>4</v>
      </c>
      <c r="S14" s="27">
        <f>'g1'!P42</f>
        <v>12</v>
      </c>
      <c r="U14" s="61" t="s">
        <v>43</v>
      </c>
    </row>
    <row r="15" ht="22.5" customHeight="1" spans="1:21">
      <c r="A15" s="5" t="str">
        <f>'g1'!A69</f>
        <v>D.Mitchell</v>
      </c>
      <c r="B15" s="24">
        <f>'g1'!B69</f>
        <v>42</v>
      </c>
      <c r="C15" s="25">
        <f>'g1'!C69</f>
        <v>3</v>
      </c>
      <c r="D15" s="25">
        <f>'g1'!D69</f>
        <v>1</v>
      </c>
      <c r="E15" s="25">
        <f>'g1'!E69</f>
        <v>1</v>
      </c>
      <c r="F15" s="25">
        <f>'g1'!F69</f>
        <v>2</v>
      </c>
      <c r="G15" s="25">
        <f>'g1'!G69</f>
        <v>17</v>
      </c>
      <c r="H15" s="25">
        <f>'g1'!H69</f>
        <v>39</v>
      </c>
      <c r="I15" s="26">
        <f t="shared" si="4"/>
        <v>43.5897435897436</v>
      </c>
      <c r="J15" s="25">
        <f>'g1'!I69</f>
        <v>0</v>
      </c>
      <c r="K15" s="25">
        <f>'g1'!J69</f>
        <v>0</v>
      </c>
      <c r="L15" s="64" t="str">
        <f t="shared" si="5"/>
        <v>---</v>
      </c>
      <c r="M15" s="25">
        <f>'g1'!K69</f>
        <v>8</v>
      </c>
      <c r="N15" s="25">
        <f>'g1'!L69</f>
        <v>9</v>
      </c>
      <c r="O15" s="26">
        <f t="shared" si="6"/>
        <v>88.8888888888889</v>
      </c>
      <c r="P15" s="25">
        <f>'g1'!M69</f>
        <v>0</v>
      </c>
      <c r="Q15" s="25">
        <f>'g1'!N69</f>
        <v>4</v>
      </c>
      <c r="R15" s="25">
        <f>'g1'!O69</f>
        <v>1</v>
      </c>
      <c r="S15" s="27">
        <f>'g1'!P69</f>
        <v>-7</v>
      </c>
      <c r="U15" s="61" t="s">
        <v>43</v>
      </c>
    </row>
    <row r="16" ht="22.5" customHeight="1" spans="1:21">
      <c r="A16" s="5" t="str">
        <f>'g1'!A96</f>
        <v>D.Mitchell</v>
      </c>
      <c r="B16" s="24">
        <f>'g1'!B96</f>
        <v>29</v>
      </c>
      <c r="C16" s="25">
        <f>'g1'!C96</f>
        <v>4</v>
      </c>
      <c r="D16" s="25">
        <f>'g1'!D96</f>
        <v>10</v>
      </c>
      <c r="E16" s="25">
        <f>'g1'!E96</f>
        <v>1</v>
      </c>
      <c r="F16" s="25">
        <f>'g1'!F96</f>
        <v>1</v>
      </c>
      <c r="G16" s="25">
        <f>'g1'!G96</f>
        <v>10</v>
      </c>
      <c r="H16" s="25">
        <f>'g1'!H96</f>
        <v>23</v>
      </c>
      <c r="I16" s="26">
        <f t="shared" si="4"/>
        <v>43.4782608695652</v>
      </c>
      <c r="J16" s="25">
        <f>'g1'!I96</f>
        <v>3</v>
      </c>
      <c r="K16" s="25">
        <f>'g1'!J96</f>
        <v>5</v>
      </c>
      <c r="L16" s="26">
        <f t="shared" si="5"/>
        <v>60</v>
      </c>
      <c r="M16" s="25">
        <f>'g1'!K96</f>
        <v>6</v>
      </c>
      <c r="N16" s="25">
        <f>'g1'!L96</f>
        <v>7</v>
      </c>
      <c r="O16" s="26">
        <f t="shared" si="6"/>
        <v>85.7142857142857</v>
      </c>
      <c r="P16" s="25">
        <f>'g1'!M96</f>
        <v>0</v>
      </c>
      <c r="Q16" s="25">
        <f>'g1'!N96</f>
        <v>4</v>
      </c>
      <c r="R16" s="25">
        <f>'g1'!O96</f>
        <v>2</v>
      </c>
      <c r="S16" s="27">
        <f>'g1'!P96</f>
        <v>-17</v>
      </c>
      <c r="U16" s="61" t="s">
        <v>43</v>
      </c>
    </row>
    <row r="17" ht="22.5" customHeight="1" spans="1:21">
      <c r="A17" s="5" t="str">
        <f>'g1'!A123</f>
        <v>D.Mitchell</v>
      </c>
      <c r="B17" s="24">
        <f>'g1'!B123</f>
        <v>18</v>
      </c>
      <c r="C17" s="25">
        <f>'g1'!C123</f>
        <v>5</v>
      </c>
      <c r="D17" s="25">
        <f>'g1'!D123</f>
        <v>3</v>
      </c>
      <c r="E17" s="25">
        <f>'g1'!E123</f>
        <v>1</v>
      </c>
      <c r="F17" s="25">
        <f>'g1'!F123</f>
        <v>0</v>
      </c>
      <c r="G17" s="25">
        <f>'g1'!G123</f>
        <v>5</v>
      </c>
      <c r="H17" s="25">
        <f>'g1'!H123</f>
        <v>13</v>
      </c>
      <c r="I17" s="26">
        <f t="shared" si="4"/>
        <v>38.4615384615385</v>
      </c>
      <c r="J17" s="25">
        <f>'g1'!I123</f>
        <v>0</v>
      </c>
      <c r="K17" s="25">
        <f>'g1'!J123</f>
        <v>0</v>
      </c>
      <c r="L17" s="64" t="str">
        <f t="shared" si="5"/>
        <v>---</v>
      </c>
      <c r="M17" s="25">
        <f>'g1'!K123</f>
        <v>8</v>
      </c>
      <c r="N17" s="25">
        <f>'g1'!L123</f>
        <v>8</v>
      </c>
      <c r="O17" s="26">
        <f t="shared" si="6"/>
        <v>100</v>
      </c>
      <c r="P17" s="25">
        <f>'g1'!M123</f>
        <v>0</v>
      </c>
      <c r="Q17" s="25">
        <f>'g1'!N123</f>
        <v>2</v>
      </c>
      <c r="R17" s="25">
        <f>'g1'!O123</f>
        <v>3</v>
      </c>
      <c r="S17" s="27">
        <f>'g1'!P123</f>
        <v>-16</v>
      </c>
      <c r="U17" s="61" t="s">
        <v>43</v>
      </c>
    </row>
    <row r="18" ht="22.5" customHeight="1" spans="1:21">
      <c r="A18" s="5" t="str">
        <f>'g1'!A149</f>
        <v>D.Mitchell</v>
      </c>
      <c r="B18" s="24">
        <f>'g1'!B149</f>
        <v>51</v>
      </c>
      <c r="C18" s="25">
        <f>'g1'!C149</f>
        <v>8</v>
      </c>
      <c r="D18" s="25">
        <f>'g1'!D149</f>
        <v>8</v>
      </c>
      <c r="E18" s="25">
        <f>'g1'!E149</f>
        <v>2</v>
      </c>
      <c r="F18" s="25">
        <f>'g1'!F149</f>
        <v>4</v>
      </c>
      <c r="G18" s="25">
        <f>'g1'!G149</f>
        <v>19</v>
      </c>
      <c r="H18" s="25">
        <f>'g1'!H149</f>
        <v>36</v>
      </c>
      <c r="I18" s="26">
        <f t="shared" si="4"/>
        <v>52.7777777777778</v>
      </c>
      <c r="J18" s="25">
        <f>'g1'!I149</f>
        <v>1</v>
      </c>
      <c r="K18" s="25">
        <f>'g1'!J149</f>
        <v>3</v>
      </c>
      <c r="L18" s="26">
        <f t="shared" si="5"/>
        <v>33.3333333333333</v>
      </c>
      <c r="M18" s="25">
        <f>'g1'!K149</f>
        <v>12</v>
      </c>
      <c r="N18" s="25">
        <f>'g1'!L149</f>
        <v>13</v>
      </c>
      <c r="O18" s="26">
        <f t="shared" si="6"/>
        <v>92.3076923076923</v>
      </c>
      <c r="P18" s="25">
        <f>'g1'!M149</f>
        <v>1</v>
      </c>
      <c r="Q18" s="25">
        <f>'g1'!N149</f>
        <v>2</v>
      </c>
      <c r="R18" s="25">
        <f>'g1'!O149</f>
        <v>1</v>
      </c>
      <c r="S18" s="27">
        <f>'g1'!P149</f>
        <v>14</v>
      </c>
      <c r="U18" s="61" t="s">
        <v>43</v>
      </c>
    </row>
    <row r="19" ht="22.5" customHeight="1" spans="1:21">
      <c r="A19" s="5" t="str">
        <f>'g1'!A175</f>
        <v>D.Mitchell</v>
      </c>
      <c r="B19" s="24">
        <f>'g1'!B175</f>
        <v>58</v>
      </c>
      <c r="C19" s="25">
        <f>'g1'!C175</f>
        <v>7</v>
      </c>
      <c r="D19" s="25">
        <f>'g1'!D175</f>
        <v>8</v>
      </c>
      <c r="E19" s="25">
        <f>'g1'!E175</f>
        <v>2</v>
      </c>
      <c r="F19" s="25">
        <f>'g1'!F175</f>
        <v>2</v>
      </c>
      <c r="G19" s="25">
        <f>'g1'!G175</f>
        <v>20</v>
      </c>
      <c r="H19" s="25">
        <f>'g1'!H175</f>
        <v>36</v>
      </c>
      <c r="I19" s="26">
        <f t="shared" si="4"/>
        <v>55.5555555555556</v>
      </c>
      <c r="J19" s="25">
        <f>'g1'!I175</f>
        <v>8</v>
      </c>
      <c r="K19" s="25">
        <f>'g1'!J175</f>
        <v>12</v>
      </c>
      <c r="L19" s="26">
        <f t="shared" si="5"/>
        <v>66.6666666666667</v>
      </c>
      <c r="M19" s="25">
        <f>'g1'!K175</f>
        <v>10</v>
      </c>
      <c r="N19" s="25">
        <f>'g1'!L175</f>
        <v>10</v>
      </c>
      <c r="O19" s="26">
        <f t="shared" si="6"/>
        <v>100</v>
      </c>
      <c r="P19" s="25">
        <f>'g1'!M175</f>
        <v>2</v>
      </c>
      <c r="Q19" s="25">
        <f>'g1'!N175</f>
        <v>3</v>
      </c>
      <c r="R19" s="25">
        <f>'g1'!O175</f>
        <v>2</v>
      </c>
      <c r="S19" s="27">
        <f>'g1'!P175</f>
        <v>11</v>
      </c>
      <c r="U19" s="61" t="s">
        <v>43</v>
      </c>
    </row>
    <row r="20" ht="22.5" customHeight="1" spans="1:21">
      <c r="A20" s="17" t="s">
        <v>63</v>
      </c>
      <c r="B20" s="18">
        <f t="shared" ref="B20:H20" si="7">AVERAGE(B13:B19)</f>
        <v>37.2857142857143</v>
      </c>
      <c r="C20" s="19">
        <f t="shared" si="7"/>
        <v>5.14285714285714</v>
      </c>
      <c r="D20" s="19">
        <f t="shared" si="7"/>
        <v>7</v>
      </c>
      <c r="E20" s="19">
        <f t="shared" si="7"/>
        <v>1.57142857142857</v>
      </c>
      <c r="F20" s="19">
        <f t="shared" si="7"/>
        <v>1.71428571428571</v>
      </c>
      <c r="G20" s="19">
        <f t="shared" si="7"/>
        <v>13.2857142857143</v>
      </c>
      <c r="H20" s="19">
        <f t="shared" si="7"/>
        <v>28.2857142857143</v>
      </c>
      <c r="I20" s="36">
        <f t="shared" si="4"/>
        <v>46.969696969697</v>
      </c>
      <c r="J20" s="19">
        <f>AVERAGE(J13:J19)</f>
        <v>1.85714285714286</v>
      </c>
      <c r="K20" s="19">
        <f>AVERAGE(K13:K19)</f>
        <v>3.28571428571429</v>
      </c>
      <c r="L20" s="36">
        <f t="shared" si="5"/>
        <v>56.5217391304348</v>
      </c>
      <c r="M20" s="19">
        <f>AVERAGE(M13:M19)</f>
        <v>8.85714285714286</v>
      </c>
      <c r="N20" s="19">
        <f>AVERAGE(N13:N19)</f>
        <v>9.71428571428571</v>
      </c>
      <c r="O20" s="36">
        <f t="shared" si="6"/>
        <v>91.1764705882353</v>
      </c>
      <c r="P20" s="19">
        <f>AVERAGE(P13:P19)</f>
        <v>0.571428571428571</v>
      </c>
      <c r="Q20" s="19">
        <f>AVERAGE(Q13:Q19)</f>
        <v>3.71428571428571</v>
      </c>
      <c r="R20" s="19">
        <f>AVERAGE(R13:R19)</f>
        <v>2.14285714285714</v>
      </c>
      <c r="S20" s="20">
        <f>AVERAGE(S13:S19)</f>
        <v>0.857142857142857</v>
      </c>
      <c r="U20" s="61" t="s">
        <v>43</v>
      </c>
    </row>
    <row r="21" spans="1:21">
      <c r="U21" s="61" t="s">
        <v>43</v>
      </c>
    </row>
    <row r="22" spans="1:21">
      <c r="U22" s="61" t="s">
        <v>43</v>
      </c>
    </row>
    <row r="23" spans="1:21">
      <c r="U23" s="61" t="s">
        <v>43</v>
      </c>
    </row>
    <row r="24" spans="1:21">
      <c r="U24" s="61" t="s">
        <v>43</v>
      </c>
    </row>
    <row r="25" spans="1:21">
      <c r="U25" s="61" t="s">
        <v>43</v>
      </c>
    </row>
    <row r="26" ht="28.5" customHeight="1" spans="1:21">
      <c r="A26" s="21" t="s">
        <v>29</v>
      </c>
      <c r="U26" s="61" t="s">
        <v>43</v>
      </c>
    </row>
    <row r="27" ht="22.5" customHeight="1" spans="1:21">
      <c r="A27" s="2" t="s">
        <v>44</v>
      </c>
      <c r="B27" s="22" t="s">
        <v>45</v>
      </c>
      <c r="C27" s="22" t="s">
        <v>46</v>
      </c>
      <c r="D27" s="22" t="s">
        <v>47</v>
      </c>
      <c r="E27" s="22" t="s">
        <v>48</v>
      </c>
      <c r="F27" s="22" t="s">
        <v>49</v>
      </c>
      <c r="G27" s="22" t="s">
        <v>50</v>
      </c>
      <c r="H27" s="22" t="s">
        <v>51</v>
      </c>
      <c r="I27" s="22" t="s">
        <v>52</v>
      </c>
      <c r="J27" s="22" t="s">
        <v>53</v>
      </c>
      <c r="K27" s="22" t="s">
        <v>54</v>
      </c>
      <c r="L27" s="22" t="s">
        <v>55</v>
      </c>
      <c r="M27" s="22" t="s">
        <v>56</v>
      </c>
      <c r="N27" s="22" t="s">
        <v>57</v>
      </c>
      <c r="O27" s="22" t="s">
        <v>58</v>
      </c>
      <c r="P27" s="22" t="s">
        <v>59</v>
      </c>
      <c r="Q27" s="22" t="s">
        <v>60</v>
      </c>
      <c r="R27" s="22" t="s">
        <v>61</v>
      </c>
      <c r="S27" s="23" t="s">
        <v>62</v>
      </c>
      <c r="U27" s="61" t="s">
        <v>43</v>
      </c>
    </row>
    <row r="28" ht="22.5" customHeight="1" spans="1:21">
      <c r="A28" s="5" t="str">
        <f>'g1'!A16</f>
        <v>D.Booker</v>
      </c>
      <c r="B28" s="24">
        <f>'g1'!B16</f>
        <v>12</v>
      </c>
      <c r="C28" s="25">
        <f>'g1'!C16</f>
        <v>8</v>
      </c>
      <c r="D28" s="25">
        <f>'g1'!D16</f>
        <v>10</v>
      </c>
      <c r="E28" s="25">
        <f>'g1'!E16</f>
        <v>0</v>
      </c>
      <c r="F28" s="25">
        <f>'g1'!F16</f>
        <v>1</v>
      </c>
      <c r="G28" s="25">
        <f>'g1'!G16</f>
        <v>4</v>
      </c>
      <c r="H28" s="25">
        <f>'g1'!H16</f>
        <v>15</v>
      </c>
      <c r="I28" s="26">
        <f t="shared" ref="I28:I35" si="8">IF(H28,G28/H28*100,U26)</f>
        <v>26.6666666666667</v>
      </c>
      <c r="J28" s="25">
        <f>'g1'!I16</f>
        <v>4</v>
      </c>
      <c r="K28" s="25">
        <f>'g1'!J16</f>
        <v>8</v>
      </c>
      <c r="L28" s="26">
        <f t="shared" ref="L28:L35" si="9">IF(K28,J28/K28*100,U26)</f>
        <v>50</v>
      </c>
      <c r="M28" s="25">
        <f>'g1'!K16</f>
        <v>0</v>
      </c>
      <c r="N28" s="25">
        <f>'g1'!L16</f>
        <v>0</v>
      </c>
      <c r="O28" s="64" t="str">
        <f t="shared" ref="O28:O35" si="10">IF(N28,M28/N28*100,U26)</f>
        <v>---</v>
      </c>
      <c r="P28" s="25">
        <f>'g1'!M16</f>
        <v>0</v>
      </c>
      <c r="Q28" s="25">
        <f>'g1'!N16</f>
        <v>4</v>
      </c>
      <c r="R28" s="25">
        <f>'g1'!O16</f>
        <v>0</v>
      </c>
      <c r="S28" s="27">
        <f>'g1'!P16</f>
        <v>18</v>
      </c>
      <c r="U28" s="61" t="s">
        <v>43</v>
      </c>
    </row>
    <row r="29" ht="22.5" customHeight="1" spans="1:21">
      <c r="A29" s="5" t="str">
        <f>'g1'!A43</f>
        <v>D.Booker</v>
      </c>
      <c r="B29" s="24">
        <f>'g1'!B43</f>
        <v>11</v>
      </c>
      <c r="C29" s="25">
        <f>'g1'!C43</f>
        <v>13</v>
      </c>
      <c r="D29" s="25">
        <f>'g1'!D43</f>
        <v>7</v>
      </c>
      <c r="E29" s="25">
        <f>'g1'!E43</f>
        <v>3</v>
      </c>
      <c r="F29" s="25">
        <f>'g1'!F43</f>
        <v>1</v>
      </c>
      <c r="G29" s="25">
        <f>'g1'!G43</f>
        <v>4</v>
      </c>
      <c r="H29" s="25">
        <f>'g1'!H43</f>
        <v>9</v>
      </c>
      <c r="I29" s="26">
        <f t="shared" si="8"/>
        <v>44.4444444444444</v>
      </c>
      <c r="J29" s="25">
        <f>'g1'!I43</f>
        <v>1</v>
      </c>
      <c r="K29" s="25">
        <f>'g1'!J43</f>
        <v>3</v>
      </c>
      <c r="L29" s="26">
        <f t="shared" si="9"/>
        <v>33.3333333333333</v>
      </c>
      <c r="M29" s="25">
        <f>'g1'!K43</f>
        <v>2</v>
      </c>
      <c r="N29" s="25">
        <f>'g1'!L43</f>
        <v>3</v>
      </c>
      <c r="O29" s="26">
        <f t="shared" si="10"/>
        <v>66.6666666666667</v>
      </c>
      <c r="P29" s="25">
        <f>'g1'!M43</f>
        <v>0</v>
      </c>
      <c r="Q29" s="25">
        <f>'g1'!N43</f>
        <v>6</v>
      </c>
      <c r="R29" s="25">
        <f>'g1'!O43</f>
        <v>0</v>
      </c>
      <c r="S29" s="27">
        <f>'g1'!P43</f>
        <v>0</v>
      </c>
      <c r="U29" s="61" t="s">
        <v>43</v>
      </c>
    </row>
    <row r="30" ht="22.5" customHeight="1" spans="1:21">
      <c r="A30" s="5" t="str">
        <f>'g1'!A70</f>
        <v>D.Booker</v>
      </c>
      <c r="B30" s="24">
        <f>'g1'!B70</f>
        <v>55</v>
      </c>
      <c r="C30" s="25">
        <f>'g1'!C70</f>
        <v>6</v>
      </c>
      <c r="D30" s="25">
        <f>'g1'!D70</f>
        <v>4</v>
      </c>
      <c r="E30" s="25">
        <f>'g1'!E70</f>
        <v>3</v>
      </c>
      <c r="F30" s="25">
        <f>'g1'!F70</f>
        <v>2</v>
      </c>
      <c r="G30" s="25">
        <f>'g1'!G70</f>
        <v>19</v>
      </c>
      <c r="H30" s="25">
        <f>'g1'!H70</f>
        <v>26</v>
      </c>
      <c r="I30" s="26">
        <f t="shared" si="8"/>
        <v>73.0769230769231</v>
      </c>
      <c r="J30" s="25">
        <f>'g1'!I70</f>
        <v>7</v>
      </c>
      <c r="K30" s="25">
        <f>'g1'!J70</f>
        <v>11</v>
      </c>
      <c r="L30" s="26">
        <f t="shared" si="9"/>
        <v>63.6363636363636</v>
      </c>
      <c r="M30" s="25">
        <f>'g1'!K70</f>
        <v>10</v>
      </c>
      <c r="N30" s="25">
        <f>'g1'!L70</f>
        <v>11</v>
      </c>
      <c r="O30" s="26">
        <f t="shared" si="10"/>
        <v>90.9090909090909</v>
      </c>
      <c r="P30" s="25">
        <f>'g1'!M70</f>
        <v>0</v>
      </c>
      <c r="Q30" s="25">
        <f>'g1'!N70</f>
        <v>3</v>
      </c>
      <c r="R30" s="25">
        <f>'g1'!O70</f>
        <v>1</v>
      </c>
      <c r="S30" s="27">
        <f>'g1'!P70</f>
        <v>-11</v>
      </c>
      <c r="U30" s="61" t="s">
        <v>43</v>
      </c>
    </row>
    <row r="31" ht="22.5" customHeight="1" spans="1:21">
      <c r="A31" s="5" t="str">
        <f>'g1'!A97</f>
        <v>D.Booker</v>
      </c>
      <c r="B31" s="24">
        <f>'g1'!B97</f>
        <v>19</v>
      </c>
      <c r="C31" s="25">
        <f>'g1'!C97</f>
        <v>5</v>
      </c>
      <c r="D31" s="25">
        <f>'g1'!D97</f>
        <v>3</v>
      </c>
      <c r="E31" s="25">
        <f>'g1'!E97</f>
        <v>1</v>
      </c>
      <c r="F31" s="25">
        <f>'g1'!F97</f>
        <v>0</v>
      </c>
      <c r="G31" s="25">
        <f>'g1'!G97</f>
        <v>7</v>
      </c>
      <c r="H31" s="25">
        <f>'g1'!H97</f>
        <v>11</v>
      </c>
      <c r="I31" s="26">
        <f t="shared" si="8"/>
        <v>63.6363636363636</v>
      </c>
      <c r="J31" s="25">
        <f>'g1'!I97</f>
        <v>4</v>
      </c>
      <c r="K31" s="25">
        <f>'g1'!J97</f>
        <v>8</v>
      </c>
      <c r="L31" s="26">
        <f t="shared" si="9"/>
        <v>50</v>
      </c>
      <c r="M31" s="25">
        <f>'g1'!K97</f>
        <v>1</v>
      </c>
      <c r="N31" s="25">
        <f>'g1'!L97</f>
        <v>1</v>
      </c>
      <c r="O31" s="26">
        <f t="shared" si="10"/>
        <v>100</v>
      </c>
      <c r="P31" s="25">
        <f>'g1'!M97</f>
        <v>1</v>
      </c>
      <c r="Q31" s="25">
        <f>'g1'!N97</f>
        <v>5</v>
      </c>
      <c r="R31" s="25">
        <f>'g1'!O97</f>
        <v>4</v>
      </c>
      <c r="S31" s="27">
        <f>'g1'!P97</f>
        <v>-10</v>
      </c>
      <c r="U31" s="61" t="s">
        <v>43</v>
      </c>
    </row>
    <row r="32" ht="22.5" customHeight="1" spans="1:21">
      <c r="A32" s="5" t="str">
        <f>'g1'!A124</f>
        <v>D.Booker</v>
      </c>
      <c r="B32" s="24">
        <f>'g1'!B124</f>
        <v>5</v>
      </c>
      <c r="C32" s="25">
        <f>'g1'!C124</f>
        <v>4</v>
      </c>
      <c r="D32" s="25">
        <f>'g1'!D124</f>
        <v>1</v>
      </c>
      <c r="E32" s="25">
        <f>'g1'!E124</f>
        <v>0</v>
      </c>
      <c r="F32" s="25">
        <f>'g1'!F124</f>
        <v>0</v>
      </c>
      <c r="G32" s="25">
        <f>'g1'!G124</f>
        <v>2</v>
      </c>
      <c r="H32" s="25">
        <f>'g1'!H124</f>
        <v>12</v>
      </c>
      <c r="I32" s="26">
        <f t="shared" si="8"/>
        <v>16.6666666666667</v>
      </c>
      <c r="J32" s="25">
        <f>'g1'!I124</f>
        <v>1</v>
      </c>
      <c r="K32" s="25">
        <f>'g1'!J124</f>
        <v>6</v>
      </c>
      <c r="L32" s="26">
        <f t="shared" si="9"/>
        <v>16.6666666666667</v>
      </c>
      <c r="M32" s="25">
        <f>'g1'!K124</f>
        <v>0</v>
      </c>
      <c r="N32" s="25">
        <f>'g1'!L124</f>
        <v>0</v>
      </c>
      <c r="O32" s="64" t="str">
        <f t="shared" si="10"/>
        <v>---</v>
      </c>
      <c r="P32" s="25">
        <f>'g1'!M124</f>
        <v>0</v>
      </c>
      <c r="Q32" s="25">
        <f>'g1'!N124</f>
        <v>2</v>
      </c>
      <c r="R32" s="25">
        <f>'g1'!O124</f>
        <v>4</v>
      </c>
      <c r="S32" s="27">
        <f>'g1'!P124</f>
        <v>-26</v>
      </c>
      <c r="U32" s="61" t="s">
        <v>43</v>
      </c>
    </row>
    <row r="33" ht="22.5" customHeight="1" spans="1:21">
      <c r="A33" s="5" t="str">
        <f>'g1'!A150</f>
        <v>D.Booker</v>
      </c>
      <c r="B33" s="24">
        <f>'g1'!B150</f>
        <v>48</v>
      </c>
      <c r="C33" s="25">
        <f>'g1'!C150</f>
        <v>8</v>
      </c>
      <c r="D33" s="25">
        <f>'g1'!D150</f>
        <v>2</v>
      </c>
      <c r="E33" s="25">
        <f>'g1'!E150</f>
        <v>1</v>
      </c>
      <c r="F33" s="25">
        <f>'g1'!F150</f>
        <v>1</v>
      </c>
      <c r="G33" s="25">
        <f>'g1'!G150</f>
        <v>17</v>
      </c>
      <c r="H33" s="25">
        <f>'g1'!H150</f>
        <v>20</v>
      </c>
      <c r="I33" s="26">
        <f t="shared" si="8"/>
        <v>85</v>
      </c>
      <c r="J33" s="25">
        <f>'g1'!I150</f>
        <v>7</v>
      </c>
      <c r="K33" s="25">
        <f>'g1'!J150</f>
        <v>8</v>
      </c>
      <c r="L33" s="26">
        <f t="shared" si="9"/>
        <v>87.5</v>
      </c>
      <c r="M33" s="25">
        <f>'g1'!K150</f>
        <v>7</v>
      </c>
      <c r="N33" s="25">
        <f>'g1'!L150</f>
        <v>7</v>
      </c>
      <c r="O33" s="26">
        <f t="shared" si="10"/>
        <v>100</v>
      </c>
      <c r="P33" s="25">
        <f>'g1'!M150</f>
        <v>0</v>
      </c>
      <c r="Q33" s="25">
        <f>'g1'!N150</f>
        <v>4</v>
      </c>
      <c r="R33" s="25">
        <f>'g1'!O150</f>
        <v>0</v>
      </c>
      <c r="S33" s="27">
        <f>'g1'!P150</f>
        <v>10</v>
      </c>
      <c r="U33" s="61" t="s">
        <v>43</v>
      </c>
    </row>
    <row r="34" ht="22.5" customHeight="1" spans="1:21">
      <c r="A34" s="5" t="str">
        <f>'g1'!A176</f>
        <v>D.Booker</v>
      </c>
      <c r="B34" s="24">
        <f>'g1'!B176</f>
        <v>18</v>
      </c>
      <c r="C34" s="25">
        <f>'g1'!C176</f>
        <v>7</v>
      </c>
      <c r="D34" s="25">
        <f>'g1'!D176</f>
        <v>5</v>
      </c>
      <c r="E34" s="25">
        <f>'g1'!E176</f>
        <v>3</v>
      </c>
      <c r="F34" s="25">
        <f>'g1'!F176</f>
        <v>0</v>
      </c>
      <c r="G34" s="25">
        <f>'g1'!G176</f>
        <v>7</v>
      </c>
      <c r="H34" s="25">
        <f>'g1'!H176</f>
        <v>14</v>
      </c>
      <c r="I34" s="26">
        <f t="shared" si="8"/>
        <v>50</v>
      </c>
      <c r="J34" s="25">
        <f>'g1'!I176</f>
        <v>4</v>
      </c>
      <c r="K34" s="25">
        <f>'g1'!J176</f>
        <v>9</v>
      </c>
      <c r="L34" s="26">
        <f t="shared" si="9"/>
        <v>44.4444444444444</v>
      </c>
      <c r="M34" s="25">
        <f>'g1'!K176</f>
        <v>0</v>
      </c>
      <c r="N34" s="25">
        <f>'g1'!L176</f>
        <v>0</v>
      </c>
      <c r="O34" s="64" t="str">
        <f t="shared" si="10"/>
        <v>---</v>
      </c>
      <c r="P34" s="25">
        <f>'g1'!M176</f>
        <v>0</v>
      </c>
      <c r="Q34" s="25">
        <f>'g1'!N176</f>
        <v>4</v>
      </c>
      <c r="R34" s="25">
        <f>'g1'!O176</f>
        <v>0</v>
      </c>
      <c r="S34" s="27">
        <f>'g1'!P176</f>
        <v>12</v>
      </c>
      <c r="U34" s="61" t="s">
        <v>43</v>
      </c>
    </row>
    <row r="35" ht="22.5" customHeight="1" spans="1:21">
      <c r="A35" s="17" t="s">
        <v>63</v>
      </c>
      <c r="B35" s="18">
        <f t="shared" ref="B35:H35" si="11">AVERAGE(B28:B34)</f>
        <v>24</v>
      </c>
      <c r="C35" s="19">
        <f t="shared" si="11"/>
        <v>7.28571428571429</v>
      </c>
      <c r="D35" s="19">
        <f t="shared" si="11"/>
        <v>4.57142857142857</v>
      </c>
      <c r="E35" s="19">
        <f t="shared" si="11"/>
        <v>1.57142857142857</v>
      </c>
      <c r="F35" s="19">
        <f t="shared" si="11"/>
        <v>0.714285714285714</v>
      </c>
      <c r="G35" s="19">
        <f t="shared" si="11"/>
        <v>8.57142857142857</v>
      </c>
      <c r="H35" s="19">
        <f t="shared" si="11"/>
        <v>15.2857142857143</v>
      </c>
      <c r="I35" s="36">
        <f t="shared" si="8"/>
        <v>56.0747663551402</v>
      </c>
      <c r="J35" s="19">
        <f>AVERAGE(J28:J34)</f>
        <v>4</v>
      </c>
      <c r="K35" s="19">
        <f>AVERAGE(K28:K34)</f>
        <v>7.57142857142857</v>
      </c>
      <c r="L35" s="36">
        <f t="shared" si="9"/>
        <v>52.8301886792453</v>
      </c>
      <c r="M35" s="19">
        <f>AVERAGE(M28:M34)</f>
        <v>2.85714285714286</v>
      </c>
      <c r="N35" s="19">
        <f>AVERAGE(N28:N34)</f>
        <v>3.14285714285714</v>
      </c>
      <c r="O35" s="36">
        <f t="shared" si="10"/>
        <v>90.9090909090909</v>
      </c>
      <c r="P35" s="19">
        <f>AVERAGE(P28:P34)</f>
        <v>0.142857142857143</v>
      </c>
      <c r="Q35" s="19">
        <f>AVERAGE(Q28:Q34)</f>
        <v>4</v>
      </c>
      <c r="R35" s="19">
        <f>AVERAGE(R28:R34)</f>
        <v>1.28571428571429</v>
      </c>
      <c r="S35" s="20">
        <f>AVERAGE(S28:S34)</f>
        <v>-1</v>
      </c>
      <c r="U35" s="61" t="s">
        <v>43</v>
      </c>
    </row>
    <row r="36" spans="1:21">
      <c r="U36" s="61" t="s">
        <v>43</v>
      </c>
    </row>
    <row r="37" spans="1:21">
      <c r="U37" s="61" t="s">
        <v>43</v>
      </c>
    </row>
    <row r="38" spans="1:21">
      <c r="U38" s="61" t="s">
        <v>43</v>
      </c>
    </row>
    <row r="39" spans="1:21">
      <c r="U39" s="61" t="s">
        <v>43</v>
      </c>
    </row>
    <row r="40" spans="1:21">
      <c r="U40" s="61" t="s">
        <v>43</v>
      </c>
    </row>
    <row r="41" ht="28.5" customHeight="1" spans="1:21">
      <c r="A41" s="21" t="s">
        <v>30</v>
      </c>
      <c r="U41" s="61" t="s">
        <v>43</v>
      </c>
    </row>
    <row r="42" ht="22.5" customHeight="1" spans="1:21">
      <c r="A42" s="2" t="s">
        <v>44</v>
      </c>
      <c r="B42" s="22" t="s">
        <v>45</v>
      </c>
      <c r="C42" s="22" t="s">
        <v>46</v>
      </c>
      <c r="D42" s="22" t="s">
        <v>47</v>
      </c>
      <c r="E42" s="22" t="s">
        <v>48</v>
      </c>
      <c r="F42" s="22" t="s">
        <v>49</v>
      </c>
      <c r="G42" s="22" t="s">
        <v>50</v>
      </c>
      <c r="H42" s="22" t="s">
        <v>51</v>
      </c>
      <c r="I42" s="22" t="s">
        <v>52</v>
      </c>
      <c r="J42" s="22" t="s">
        <v>53</v>
      </c>
      <c r="K42" s="22" t="s">
        <v>54</v>
      </c>
      <c r="L42" s="22" t="s">
        <v>55</v>
      </c>
      <c r="M42" s="22" t="s">
        <v>56</v>
      </c>
      <c r="N42" s="22" t="s">
        <v>57</v>
      </c>
      <c r="O42" s="22" t="s">
        <v>58</v>
      </c>
      <c r="P42" s="22" t="s">
        <v>59</v>
      </c>
      <c r="Q42" s="22" t="s">
        <v>60</v>
      </c>
      <c r="R42" s="22" t="s">
        <v>61</v>
      </c>
      <c r="S42" s="23" t="s">
        <v>62</v>
      </c>
      <c r="U42" s="61" t="s">
        <v>43</v>
      </c>
    </row>
    <row r="43" ht="22.5" customHeight="1" spans="1:21">
      <c r="A43" s="5" t="str">
        <f>'g1'!A17</f>
        <v>M.Robinson</v>
      </c>
      <c r="B43" s="24">
        <f>'g1'!B17</f>
        <v>8</v>
      </c>
      <c r="C43" s="25">
        <f>'g1'!C17</f>
        <v>8</v>
      </c>
      <c r="D43" s="25">
        <f>'g1'!D17</f>
        <v>8</v>
      </c>
      <c r="E43" s="25">
        <f>'g1'!E17</f>
        <v>4</v>
      </c>
      <c r="F43" s="25">
        <f>'g1'!F17</f>
        <v>0</v>
      </c>
      <c r="G43" s="25">
        <f>'g1'!G17</f>
        <v>2</v>
      </c>
      <c r="H43" s="25">
        <f>'g1'!H17</f>
        <v>8</v>
      </c>
      <c r="I43" s="26">
        <f t="shared" ref="I43:I50" si="12">IF(H43,G43/H43*100,U41)</f>
        <v>25</v>
      </c>
      <c r="J43" s="25">
        <f>'g1'!I17</f>
        <v>0</v>
      </c>
      <c r="K43" s="25">
        <f>'g1'!J17</f>
        <v>0</v>
      </c>
      <c r="L43" s="64" t="str">
        <f t="shared" ref="L43:L50" si="13">IF(K43,J43/K43*100,U41)</f>
        <v>---</v>
      </c>
      <c r="M43" s="25">
        <f>'g1'!K17</f>
        <v>4</v>
      </c>
      <c r="N43" s="25">
        <f>'g1'!L17</f>
        <v>5</v>
      </c>
      <c r="O43" s="26">
        <f t="shared" ref="O43:O50" si="14">IF(N43,M43/N43*100,U41)</f>
        <v>80</v>
      </c>
      <c r="P43" s="25">
        <f>'g1'!M17</f>
        <v>3</v>
      </c>
      <c r="Q43" s="25">
        <f>'g1'!N17</f>
        <v>1</v>
      </c>
      <c r="R43" s="25">
        <f>'g1'!O17</f>
        <v>1</v>
      </c>
      <c r="S43" s="27">
        <f>'g1'!P17</f>
        <v>10</v>
      </c>
      <c r="U43" s="61" t="s">
        <v>43</v>
      </c>
    </row>
    <row r="44" ht="22.5" customHeight="1" spans="1:21">
      <c r="A44" s="5" t="str">
        <f>'g1'!A44</f>
        <v>M.Robinson</v>
      </c>
      <c r="B44" s="24">
        <f>'g1'!B44</f>
        <v>25</v>
      </c>
      <c r="C44" s="25">
        <f>'g1'!C44</f>
        <v>16</v>
      </c>
      <c r="D44" s="25">
        <f>'g1'!D44</f>
        <v>8</v>
      </c>
      <c r="E44" s="25">
        <f>'g1'!E44</f>
        <v>5</v>
      </c>
      <c r="F44" s="25">
        <f>'g1'!F44</f>
        <v>1</v>
      </c>
      <c r="G44" s="25">
        <f>'g1'!G44</f>
        <v>10</v>
      </c>
      <c r="H44" s="25">
        <f>'g1'!H44</f>
        <v>12</v>
      </c>
      <c r="I44" s="26">
        <f t="shared" si="12"/>
        <v>83.3333333333333</v>
      </c>
      <c r="J44" s="25">
        <f>'g1'!I44</f>
        <v>0</v>
      </c>
      <c r="K44" s="25">
        <f>'g1'!J44</f>
        <v>0</v>
      </c>
      <c r="L44" s="64" t="str">
        <f t="shared" si="13"/>
        <v>---</v>
      </c>
      <c r="M44" s="25">
        <f>'g1'!K44</f>
        <v>5</v>
      </c>
      <c r="N44" s="25">
        <f>'g1'!L44</f>
        <v>6</v>
      </c>
      <c r="O44" s="26">
        <f t="shared" si="14"/>
        <v>83.3333333333333</v>
      </c>
      <c r="P44" s="25">
        <f>'g1'!M44</f>
        <v>8</v>
      </c>
      <c r="Q44" s="25">
        <f>'g1'!N44</f>
        <v>1</v>
      </c>
      <c r="R44" s="25">
        <f>'g1'!O44</f>
        <v>4</v>
      </c>
      <c r="S44" s="27">
        <f>'g1'!P44</f>
        <v>7</v>
      </c>
      <c r="U44" s="61" t="s">
        <v>43</v>
      </c>
    </row>
    <row r="45" ht="22.5" customHeight="1" spans="1:21">
      <c r="A45" s="5" t="str">
        <f>'g1'!A71</f>
        <v>M.Robinson</v>
      </c>
      <c r="B45" s="24">
        <f>'g1'!B71</f>
        <v>15</v>
      </c>
      <c r="C45" s="25">
        <f>'g1'!C71</f>
        <v>13</v>
      </c>
      <c r="D45" s="25">
        <f>'g1'!D71</f>
        <v>3</v>
      </c>
      <c r="E45" s="25">
        <f>'g1'!E71</f>
        <v>5</v>
      </c>
      <c r="F45" s="25">
        <f>'g1'!F71</f>
        <v>1</v>
      </c>
      <c r="G45" s="25">
        <f>'g1'!G71</f>
        <v>5</v>
      </c>
      <c r="H45" s="25">
        <f>'g1'!H71</f>
        <v>14</v>
      </c>
      <c r="I45" s="26">
        <f t="shared" si="12"/>
        <v>35.7142857142857</v>
      </c>
      <c r="J45" s="25">
        <f>'g1'!I71</f>
        <v>0</v>
      </c>
      <c r="K45" s="25">
        <f>'g1'!J71</f>
        <v>0</v>
      </c>
      <c r="L45" s="64" t="str">
        <f t="shared" si="13"/>
        <v>---</v>
      </c>
      <c r="M45" s="25">
        <f>'g1'!K71</f>
        <v>5</v>
      </c>
      <c r="N45" s="25">
        <f>'g1'!L71</f>
        <v>6</v>
      </c>
      <c r="O45" s="26">
        <f t="shared" si="14"/>
        <v>83.3333333333333</v>
      </c>
      <c r="P45" s="25">
        <f>'g1'!M71</f>
        <v>5</v>
      </c>
      <c r="Q45" s="25">
        <f>'g1'!N71</f>
        <v>5</v>
      </c>
      <c r="R45" s="25">
        <f>'g1'!O71</f>
        <v>2</v>
      </c>
      <c r="S45" s="27">
        <f>'g1'!P71</f>
        <v>-19</v>
      </c>
      <c r="U45" s="61" t="s">
        <v>43</v>
      </c>
    </row>
    <row r="46" ht="22.5" customHeight="1" spans="1:21">
      <c r="A46" s="5" t="str">
        <f>'g1'!A98</f>
        <v>M.Robinson</v>
      </c>
      <c r="B46" s="24">
        <f>'g1'!B98</f>
        <v>17</v>
      </c>
      <c r="C46" s="25">
        <f>'g1'!C98</f>
        <v>12</v>
      </c>
      <c r="D46" s="25">
        <f>'g1'!D98</f>
        <v>6</v>
      </c>
      <c r="E46" s="25">
        <f>'g1'!E98</f>
        <v>2</v>
      </c>
      <c r="F46" s="25">
        <f>'g1'!F98</f>
        <v>0</v>
      </c>
      <c r="G46" s="25">
        <f>'g1'!G98</f>
        <v>5</v>
      </c>
      <c r="H46" s="25">
        <f>'g1'!H98</f>
        <v>10</v>
      </c>
      <c r="I46" s="26">
        <f t="shared" si="12"/>
        <v>50</v>
      </c>
      <c r="J46" s="25">
        <f>'g1'!I98</f>
        <v>0</v>
      </c>
      <c r="K46" s="25">
        <f>'g1'!J98</f>
        <v>0</v>
      </c>
      <c r="L46" s="64" t="str">
        <f t="shared" si="13"/>
        <v>---</v>
      </c>
      <c r="M46" s="25">
        <f>'g1'!K98</f>
        <v>7</v>
      </c>
      <c r="N46" s="25">
        <f>'g1'!L98</f>
        <v>7</v>
      </c>
      <c r="O46" s="26">
        <f t="shared" si="14"/>
        <v>100</v>
      </c>
      <c r="P46" s="25">
        <f>'g1'!M98</f>
        <v>3</v>
      </c>
      <c r="Q46" s="25">
        <f>'g1'!N98</f>
        <v>2</v>
      </c>
      <c r="R46" s="25">
        <f>'g1'!O98</f>
        <v>2</v>
      </c>
      <c r="S46" s="27">
        <f>'g1'!P98</f>
        <v>-1</v>
      </c>
      <c r="U46" s="61" t="s">
        <v>43</v>
      </c>
    </row>
    <row r="47" ht="22.5" customHeight="1" spans="1:21">
      <c r="A47" s="5" t="str">
        <f>'g1'!A125</f>
        <v>M.Robinson</v>
      </c>
      <c r="B47" s="24">
        <f>'g1'!B125</f>
        <v>12</v>
      </c>
      <c r="C47" s="25">
        <f>'g1'!C125</f>
        <v>3</v>
      </c>
      <c r="D47" s="25">
        <f>'g1'!D125</f>
        <v>4</v>
      </c>
      <c r="E47" s="25">
        <f>'g1'!E125</f>
        <v>3</v>
      </c>
      <c r="F47" s="25">
        <f>'g1'!F125</f>
        <v>1</v>
      </c>
      <c r="G47" s="25">
        <f>'g1'!G125</f>
        <v>4</v>
      </c>
      <c r="H47" s="25">
        <f>'g1'!H125</f>
        <v>9</v>
      </c>
      <c r="I47" s="26">
        <f t="shared" si="12"/>
        <v>44.4444444444444</v>
      </c>
      <c r="J47" s="25">
        <f>'g1'!I125</f>
        <v>0</v>
      </c>
      <c r="K47" s="25">
        <f>'g1'!J125</f>
        <v>1</v>
      </c>
      <c r="L47" s="26">
        <f t="shared" si="13"/>
        <v>0</v>
      </c>
      <c r="M47" s="25">
        <f>'g1'!K125</f>
        <v>4</v>
      </c>
      <c r="N47" s="25">
        <f>'g1'!L125</f>
        <v>6</v>
      </c>
      <c r="O47" s="26">
        <f t="shared" si="14"/>
        <v>66.6666666666667</v>
      </c>
      <c r="P47" s="25">
        <f>'g1'!M125</f>
        <v>1</v>
      </c>
      <c r="Q47" s="25">
        <f>'g1'!N125</f>
        <v>1</v>
      </c>
      <c r="R47" s="25">
        <f>'g1'!O125</f>
        <v>1</v>
      </c>
      <c r="S47" s="27">
        <f>'g1'!P125</f>
        <v>-16</v>
      </c>
      <c r="U47" s="61" t="s">
        <v>43</v>
      </c>
    </row>
    <row r="48" ht="22.5" customHeight="1" spans="1:21">
      <c r="A48" s="5" t="str">
        <f>'g1'!A151</f>
        <v>M.Robinson</v>
      </c>
      <c r="B48" s="24">
        <f>'g1'!B151</f>
        <v>22</v>
      </c>
      <c r="C48" s="25">
        <f>'g1'!C151</f>
        <v>8</v>
      </c>
      <c r="D48" s="25">
        <f>'g1'!D151</f>
        <v>6</v>
      </c>
      <c r="E48" s="25">
        <f>'g1'!E151</f>
        <v>7</v>
      </c>
      <c r="F48" s="25">
        <f>'g1'!F151</f>
        <v>0</v>
      </c>
      <c r="G48" s="25">
        <f>'g1'!G151</f>
        <v>8</v>
      </c>
      <c r="H48" s="25">
        <f>'g1'!H151</f>
        <v>10</v>
      </c>
      <c r="I48" s="26">
        <f t="shared" si="12"/>
        <v>80</v>
      </c>
      <c r="J48" s="25">
        <f>'g1'!I151</f>
        <v>0</v>
      </c>
      <c r="K48" s="25">
        <f>'g1'!J151</f>
        <v>0</v>
      </c>
      <c r="L48" s="64" t="str">
        <f t="shared" si="13"/>
        <v>---</v>
      </c>
      <c r="M48" s="25">
        <f>'g1'!K151</f>
        <v>6</v>
      </c>
      <c r="N48" s="25">
        <f>'g1'!L151</f>
        <v>9</v>
      </c>
      <c r="O48" s="26">
        <f t="shared" si="14"/>
        <v>66.6666666666667</v>
      </c>
      <c r="P48" s="25">
        <f>'g1'!M151</f>
        <v>1</v>
      </c>
      <c r="Q48" s="25">
        <f>'g1'!N151</f>
        <v>1</v>
      </c>
      <c r="R48" s="25">
        <f>'g1'!O151</f>
        <v>4</v>
      </c>
      <c r="S48" s="27">
        <f>'g1'!P151</f>
        <v>8</v>
      </c>
      <c r="U48" s="61" t="s">
        <v>43</v>
      </c>
    </row>
    <row r="49" ht="22.5" customHeight="1" spans="1:21">
      <c r="A49" s="5" t="str">
        <f>'g1'!A177</f>
        <v>M.Robinson</v>
      </c>
      <c r="B49" s="24">
        <f>'g1'!B177</f>
        <v>30</v>
      </c>
      <c r="C49" s="25">
        <f>'g1'!C177</f>
        <v>12</v>
      </c>
      <c r="D49" s="25">
        <f>'g1'!D177</f>
        <v>5</v>
      </c>
      <c r="E49" s="25">
        <f>'g1'!E177</f>
        <v>1</v>
      </c>
      <c r="F49" s="25">
        <f>'g1'!F177</f>
        <v>1</v>
      </c>
      <c r="G49" s="25">
        <f>'g1'!G177</f>
        <v>12</v>
      </c>
      <c r="H49" s="25">
        <f>'g1'!H177</f>
        <v>21</v>
      </c>
      <c r="I49" s="26">
        <f t="shared" si="12"/>
        <v>57.1428571428571</v>
      </c>
      <c r="J49" s="25">
        <f>'g1'!I177</f>
        <v>0</v>
      </c>
      <c r="K49" s="25">
        <f>'g1'!J177</f>
        <v>0</v>
      </c>
      <c r="L49" s="64" t="str">
        <f t="shared" si="13"/>
        <v>---</v>
      </c>
      <c r="M49" s="25">
        <f>'g1'!K177</f>
        <v>6</v>
      </c>
      <c r="N49" s="25">
        <f>'g1'!L177</f>
        <v>11</v>
      </c>
      <c r="O49" s="26">
        <f t="shared" si="14"/>
        <v>54.5454545454545</v>
      </c>
      <c r="P49" s="25">
        <f>'g1'!M177</f>
        <v>5</v>
      </c>
      <c r="Q49" s="25">
        <f>'g1'!N177</f>
        <v>3</v>
      </c>
      <c r="R49" s="25">
        <f>'g1'!O177</f>
        <v>2</v>
      </c>
      <c r="S49" s="27">
        <f>'g1'!P177</f>
        <v>11</v>
      </c>
      <c r="U49" s="61" t="s">
        <v>43</v>
      </c>
    </row>
    <row r="50" ht="22.5" customHeight="1" spans="1:21">
      <c r="A50" s="17" t="s">
        <v>63</v>
      </c>
      <c r="B50" s="18">
        <f t="shared" ref="B50:H50" si="15">AVERAGE(B43:B49)</f>
        <v>18.4285714285714</v>
      </c>
      <c r="C50" s="19">
        <f t="shared" si="15"/>
        <v>10.2857142857143</v>
      </c>
      <c r="D50" s="19">
        <f t="shared" si="15"/>
        <v>5.71428571428571</v>
      </c>
      <c r="E50" s="19">
        <f t="shared" si="15"/>
        <v>3.85714285714286</v>
      </c>
      <c r="F50" s="19">
        <f t="shared" si="15"/>
        <v>0.571428571428571</v>
      </c>
      <c r="G50" s="19">
        <f t="shared" si="15"/>
        <v>6.57142857142857</v>
      </c>
      <c r="H50" s="19">
        <f t="shared" si="15"/>
        <v>12</v>
      </c>
      <c r="I50" s="36">
        <f t="shared" si="12"/>
        <v>54.7619047619048</v>
      </c>
      <c r="J50" s="19">
        <f>AVERAGE(J43:J49)</f>
        <v>0</v>
      </c>
      <c r="K50" s="19">
        <f>AVERAGE(K43:K49)</f>
        <v>0.142857142857143</v>
      </c>
      <c r="L50" s="36">
        <f t="shared" si="13"/>
        <v>0</v>
      </c>
      <c r="M50" s="19">
        <f>AVERAGE(M43:M49)</f>
        <v>5.28571428571429</v>
      </c>
      <c r="N50" s="19">
        <f>AVERAGE(N43:N49)</f>
        <v>7.14285714285714</v>
      </c>
      <c r="O50" s="36">
        <f t="shared" si="14"/>
        <v>74</v>
      </c>
      <c r="P50" s="19">
        <f>AVERAGE(P43:P49)</f>
        <v>3.71428571428571</v>
      </c>
      <c r="Q50" s="19">
        <f>AVERAGE(Q43:Q49)</f>
        <v>2</v>
      </c>
      <c r="R50" s="19">
        <f>AVERAGE(R43:R49)</f>
        <v>2.28571428571429</v>
      </c>
      <c r="S50" s="20">
        <f>AVERAGE(S43:S49)</f>
        <v>0</v>
      </c>
      <c r="U50" s="61" t="s">
        <v>43</v>
      </c>
    </row>
    <row r="51" spans="1:21">
      <c r="U51" s="61" t="s">
        <v>43</v>
      </c>
    </row>
    <row r="52" spans="1:21">
      <c r="U52" s="61" t="s">
        <v>43</v>
      </c>
    </row>
    <row r="53" spans="1:21">
      <c r="U53" s="61" t="s">
        <v>43</v>
      </c>
    </row>
    <row r="54" spans="1:21">
      <c r="U54" s="61" t="s">
        <v>43</v>
      </c>
    </row>
    <row r="55" spans="1:21">
      <c r="U55" s="61" t="s">
        <v>43</v>
      </c>
    </row>
    <row r="56" ht="28.5" customHeight="1" spans="1:21">
      <c r="A56" s="21" t="s">
        <v>31</v>
      </c>
      <c r="U56" s="61" t="s">
        <v>43</v>
      </c>
    </row>
    <row r="57" ht="22.5" customHeight="1" spans="1:21">
      <c r="A57" s="2" t="s">
        <v>44</v>
      </c>
      <c r="B57" s="22" t="s">
        <v>45</v>
      </c>
      <c r="C57" s="22" t="s">
        <v>46</v>
      </c>
      <c r="D57" s="22" t="s">
        <v>47</v>
      </c>
      <c r="E57" s="22" t="s">
        <v>48</v>
      </c>
      <c r="F57" s="22" t="s">
        <v>49</v>
      </c>
      <c r="G57" s="22" t="s">
        <v>50</v>
      </c>
      <c r="H57" s="22" t="s">
        <v>51</v>
      </c>
      <c r="I57" s="22" t="s">
        <v>52</v>
      </c>
      <c r="J57" s="22" t="s">
        <v>53</v>
      </c>
      <c r="K57" s="22" t="s">
        <v>54</v>
      </c>
      <c r="L57" s="22" t="s">
        <v>55</v>
      </c>
      <c r="M57" s="22" t="s">
        <v>56</v>
      </c>
      <c r="N57" s="22" t="s">
        <v>57</v>
      </c>
      <c r="O57" s="22" t="s">
        <v>58</v>
      </c>
      <c r="P57" s="22" t="s">
        <v>59</v>
      </c>
      <c r="Q57" s="22" t="s">
        <v>60</v>
      </c>
      <c r="R57" s="22" t="s">
        <v>61</v>
      </c>
      <c r="S57" s="23" t="s">
        <v>62</v>
      </c>
      <c r="U57" s="61" t="s">
        <v>43</v>
      </c>
    </row>
    <row r="58" ht="22.5" customHeight="1" spans="1:21">
      <c r="A58" s="5" t="str">
        <f>'g1'!A18</f>
        <v>W.Chamberlain</v>
      </c>
      <c r="B58" s="24">
        <f>'g1'!B18</f>
        <v>6</v>
      </c>
      <c r="C58" s="25">
        <f>'g1'!C18</f>
        <v>11</v>
      </c>
      <c r="D58" s="25">
        <f>'g1'!D18</f>
        <v>3</v>
      </c>
      <c r="E58" s="25">
        <f>'g1'!E18</f>
        <v>2</v>
      </c>
      <c r="F58" s="25">
        <f>'g1'!F18</f>
        <v>2</v>
      </c>
      <c r="G58" s="25">
        <f>'g1'!G18</f>
        <v>3</v>
      </c>
      <c r="H58" s="25">
        <f>'g1'!H18</f>
        <v>3</v>
      </c>
      <c r="I58" s="26">
        <f t="shared" ref="I58:I65" si="16">IF(H58,G58/H58*100,U56)</f>
        <v>100</v>
      </c>
      <c r="J58" s="25">
        <f>'g1'!I18</f>
        <v>0</v>
      </c>
      <c r="K58" s="25">
        <f>'g1'!J18</f>
        <v>0</v>
      </c>
      <c r="L58" s="64" t="str">
        <f t="shared" ref="L58:L65" si="17">IF(K58,J58/K58*100,U56)</f>
        <v>---</v>
      </c>
      <c r="M58" s="25">
        <f>'g1'!K18</f>
        <v>0</v>
      </c>
      <c r="N58" s="25">
        <f>'g1'!L18</f>
        <v>1</v>
      </c>
      <c r="O58" s="26">
        <f t="shared" ref="O58:O65" si="18">IF(N58,M58/N58*100,U56)</f>
        <v>0</v>
      </c>
      <c r="P58" s="25">
        <f>'g1'!M18</f>
        <v>2</v>
      </c>
      <c r="Q58" s="25">
        <f>'g1'!N18</f>
        <v>4</v>
      </c>
      <c r="R58" s="25">
        <f>'g1'!O18</f>
        <v>1</v>
      </c>
      <c r="S58" s="27">
        <f>'g1'!P18</f>
        <v>20</v>
      </c>
      <c r="U58" s="61" t="s">
        <v>43</v>
      </c>
    </row>
    <row r="59" ht="22.5" customHeight="1" spans="1:21">
      <c r="A59" s="5" t="str">
        <f>'g1'!A45</f>
        <v>W.Chamberlain</v>
      </c>
      <c r="B59" s="24">
        <f>'g1'!B45</f>
        <v>19</v>
      </c>
      <c r="C59" s="25">
        <f>'g1'!C45</f>
        <v>9</v>
      </c>
      <c r="D59" s="25">
        <f>'g1'!D45</f>
        <v>1</v>
      </c>
      <c r="E59" s="25">
        <f>'g1'!E45</f>
        <v>6</v>
      </c>
      <c r="F59" s="25">
        <f>'g1'!F45</f>
        <v>0</v>
      </c>
      <c r="G59" s="25">
        <f>'g1'!G45</f>
        <v>9</v>
      </c>
      <c r="H59" s="25">
        <f>'g1'!H45</f>
        <v>12</v>
      </c>
      <c r="I59" s="26">
        <f t="shared" si="16"/>
        <v>75</v>
      </c>
      <c r="J59" s="25">
        <f>'g1'!I45</f>
        <v>0</v>
      </c>
      <c r="K59" s="25">
        <f>'g1'!J45</f>
        <v>0</v>
      </c>
      <c r="L59" s="64" t="str">
        <f t="shared" si="17"/>
        <v>---</v>
      </c>
      <c r="M59" s="25">
        <f>'g1'!K45</f>
        <v>1</v>
      </c>
      <c r="N59" s="25">
        <f>'g1'!L45</f>
        <v>4</v>
      </c>
      <c r="O59" s="26">
        <f t="shared" si="18"/>
        <v>25</v>
      </c>
      <c r="P59" s="25">
        <f>'g1'!M45</f>
        <v>5</v>
      </c>
      <c r="Q59" s="25">
        <f>'g1'!N45</f>
        <v>4</v>
      </c>
      <c r="R59" s="25">
        <f>'g1'!O45</f>
        <v>5</v>
      </c>
      <c r="S59" s="27">
        <f>'g1'!P45</f>
        <v>-1</v>
      </c>
      <c r="U59" s="61" t="s">
        <v>43</v>
      </c>
    </row>
    <row r="60" ht="22.5" customHeight="1" spans="1:21">
      <c r="A60" s="5" t="str">
        <f>'g1'!A72</f>
        <v>W.Chamberlain</v>
      </c>
      <c r="B60" s="24">
        <f>'g1'!B72</f>
        <v>8</v>
      </c>
      <c r="C60" s="25">
        <f>'g1'!C72</f>
        <v>16</v>
      </c>
      <c r="D60" s="25">
        <f>'g1'!D72</f>
        <v>3</v>
      </c>
      <c r="E60" s="25">
        <f>'g1'!E72</f>
        <v>3</v>
      </c>
      <c r="F60" s="25">
        <f>'g1'!F72</f>
        <v>0</v>
      </c>
      <c r="G60" s="25">
        <f>'g1'!G72</f>
        <v>4</v>
      </c>
      <c r="H60" s="25">
        <f>'g1'!H72</f>
        <v>7</v>
      </c>
      <c r="I60" s="26">
        <f t="shared" si="16"/>
        <v>57.1428571428571</v>
      </c>
      <c r="J60" s="25">
        <f>'g1'!I72</f>
        <v>0</v>
      </c>
      <c r="K60" s="25">
        <f>'g1'!J72</f>
        <v>0</v>
      </c>
      <c r="L60" s="64" t="str">
        <f t="shared" si="17"/>
        <v>---</v>
      </c>
      <c r="M60" s="25">
        <f>'g1'!K72</f>
        <v>0</v>
      </c>
      <c r="N60" s="25">
        <f>'g1'!L72</f>
        <v>1</v>
      </c>
      <c r="O60" s="26">
        <f t="shared" si="18"/>
        <v>0</v>
      </c>
      <c r="P60" s="25">
        <f>'g1'!M72</f>
        <v>4</v>
      </c>
      <c r="Q60" s="25">
        <f>'g1'!N72</f>
        <v>1</v>
      </c>
      <c r="R60" s="25">
        <f>'g1'!O72</f>
        <v>5</v>
      </c>
      <c r="S60" s="27">
        <f>'g1'!P72</f>
        <v>-7</v>
      </c>
      <c r="U60" s="61" t="s">
        <v>43</v>
      </c>
    </row>
    <row r="61" ht="22.5" customHeight="1" spans="1:21">
      <c r="A61" s="5" t="str">
        <f>'g1'!A99</f>
        <v>W.Chamberlain</v>
      </c>
      <c r="B61" s="24">
        <f>'g1'!B99</f>
        <v>2</v>
      </c>
      <c r="C61" s="25">
        <f>'g1'!C99</f>
        <v>8</v>
      </c>
      <c r="D61" s="25">
        <f>'g1'!D99</f>
        <v>5</v>
      </c>
      <c r="E61" s="25">
        <f>'g1'!E99</f>
        <v>5</v>
      </c>
      <c r="F61" s="25">
        <f>'g1'!F99</f>
        <v>2</v>
      </c>
      <c r="G61" s="25">
        <f>'g1'!G99</f>
        <v>1</v>
      </c>
      <c r="H61" s="25">
        <f>'g1'!H99</f>
        <v>2</v>
      </c>
      <c r="I61" s="26">
        <f t="shared" si="16"/>
        <v>50</v>
      </c>
      <c r="J61" s="25">
        <f>'g1'!I99</f>
        <v>0</v>
      </c>
      <c r="K61" s="25">
        <f>'g1'!J99</f>
        <v>0</v>
      </c>
      <c r="L61" s="64" t="str">
        <f t="shared" si="17"/>
        <v>---</v>
      </c>
      <c r="M61" s="25">
        <f>'g1'!K99</f>
        <v>0</v>
      </c>
      <c r="N61" s="25">
        <f>'g1'!L99</f>
        <v>0</v>
      </c>
      <c r="O61" s="64" t="str">
        <f t="shared" si="18"/>
        <v>---</v>
      </c>
      <c r="P61" s="25">
        <f>'g1'!M99</f>
        <v>2</v>
      </c>
      <c r="Q61" s="25">
        <f>'g1'!N99</f>
        <v>2</v>
      </c>
      <c r="R61" s="25">
        <f>'g1'!O99</f>
        <v>5</v>
      </c>
      <c r="S61" s="27">
        <f>'g1'!P99</f>
        <v>-15</v>
      </c>
      <c r="U61" s="61" t="s">
        <v>43</v>
      </c>
    </row>
    <row r="62" ht="22.5" customHeight="1" spans="1:21">
      <c r="A62" s="5" t="str">
        <f>'g1'!A126</f>
        <v>W.Chamberlain</v>
      </c>
      <c r="B62" s="24">
        <f>'g1'!B126</f>
        <v>0</v>
      </c>
      <c r="C62" s="25">
        <f>'g1'!C126</f>
        <v>5</v>
      </c>
      <c r="D62" s="25">
        <f>'g1'!D126</f>
        <v>1</v>
      </c>
      <c r="E62" s="25">
        <f>'g1'!E126</f>
        <v>2</v>
      </c>
      <c r="F62" s="25">
        <f>'g1'!F126</f>
        <v>0</v>
      </c>
      <c r="G62" s="25">
        <f>'g1'!G126</f>
        <v>0</v>
      </c>
      <c r="H62" s="25">
        <f>'g1'!H126</f>
        <v>0</v>
      </c>
      <c r="I62" s="64" t="str">
        <f t="shared" si="16"/>
        <v>---</v>
      </c>
      <c r="J62" s="25">
        <f>'g1'!I126</f>
        <v>0</v>
      </c>
      <c r="K62" s="25">
        <f>'g1'!J126</f>
        <v>0</v>
      </c>
      <c r="L62" s="64" t="str">
        <f t="shared" si="17"/>
        <v>---</v>
      </c>
      <c r="M62" s="25">
        <f>'g1'!K126</f>
        <v>0</v>
      </c>
      <c r="N62" s="25">
        <f>'g1'!L126</f>
        <v>4</v>
      </c>
      <c r="O62" s="26">
        <f t="shared" si="18"/>
        <v>0</v>
      </c>
      <c r="P62" s="25">
        <f>'g1'!M126</f>
        <v>0</v>
      </c>
      <c r="Q62" s="25">
        <f>'g1'!N126</f>
        <v>6</v>
      </c>
      <c r="R62" s="25">
        <f>'g1'!O126</f>
        <v>1</v>
      </c>
      <c r="S62" s="27">
        <f>'g1'!P126</f>
        <v>-21</v>
      </c>
      <c r="U62" s="61" t="s">
        <v>43</v>
      </c>
    </row>
    <row r="63" ht="22.5" customHeight="1" spans="1:21">
      <c r="A63" s="5" t="str">
        <f>'g1'!A152</f>
        <v>W.Chamberlain</v>
      </c>
      <c r="B63" s="24">
        <f>'g1'!B152</f>
        <v>3</v>
      </c>
      <c r="C63" s="25">
        <f>'g1'!C152</f>
        <v>12</v>
      </c>
      <c r="D63" s="25">
        <f>'g1'!D152</f>
        <v>6</v>
      </c>
      <c r="E63" s="25">
        <f>'g1'!E152</f>
        <v>6</v>
      </c>
      <c r="F63" s="25">
        <f>'g1'!F152</f>
        <v>0</v>
      </c>
      <c r="G63" s="25">
        <f>'g1'!G152</f>
        <v>1</v>
      </c>
      <c r="H63" s="25">
        <f>'g1'!H152</f>
        <v>2</v>
      </c>
      <c r="I63" s="26">
        <f t="shared" si="16"/>
        <v>50</v>
      </c>
      <c r="J63" s="25">
        <f>'g1'!I152</f>
        <v>0</v>
      </c>
      <c r="K63" s="25">
        <f>'g1'!J152</f>
        <v>0</v>
      </c>
      <c r="L63" s="64" t="str">
        <f t="shared" si="17"/>
        <v>---</v>
      </c>
      <c r="M63" s="25">
        <f>'g1'!K152</f>
        <v>1</v>
      </c>
      <c r="N63" s="25">
        <f>'g1'!L152</f>
        <v>6</v>
      </c>
      <c r="O63" s="26">
        <f t="shared" si="18"/>
        <v>16.6666666666667</v>
      </c>
      <c r="P63" s="25">
        <f>'g1'!M152</f>
        <v>4</v>
      </c>
      <c r="Q63" s="25">
        <f>'g1'!N152</f>
        <v>0</v>
      </c>
      <c r="R63" s="25">
        <f>'g1'!O152</f>
        <v>1</v>
      </c>
      <c r="S63" s="27">
        <f>'g1'!P152</f>
        <v>14</v>
      </c>
      <c r="U63" s="61" t="s">
        <v>43</v>
      </c>
    </row>
    <row r="64" ht="22.5" customHeight="1" spans="1:21">
      <c r="A64" s="5" t="str">
        <f>'g1'!A178</f>
        <v>W.Chamberlain</v>
      </c>
      <c r="B64" s="24">
        <f>'g1'!B178</f>
        <v>8</v>
      </c>
      <c r="C64" s="25">
        <f>'g1'!C178</f>
        <v>8</v>
      </c>
      <c r="D64" s="25">
        <f>'g1'!D178</f>
        <v>4</v>
      </c>
      <c r="E64" s="25">
        <f>'g1'!E178</f>
        <v>7</v>
      </c>
      <c r="F64" s="25">
        <f>'g1'!F178</f>
        <v>2</v>
      </c>
      <c r="G64" s="25">
        <f>'g1'!G178</f>
        <v>4</v>
      </c>
      <c r="H64" s="25">
        <f>'g1'!H178</f>
        <v>8</v>
      </c>
      <c r="I64" s="26">
        <f t="shared" si="16"/>
        <v>50</v>
      </c>
      <c r="J64" s="25">
        <f>'g1'!I178</f>
        <v>0</v>
      </c>
      <c r="K64" s="25">
        <f>'g1'!J178</f>
        <v>0</v>
      </c>
      <c r="L64" s="64" t="str">
        <f t="shared" si="17"/>
        <v>---</v>
      </c>
      <c r="M64" s="25">
        <f>'g1'!K178</f>
        <v>0</v>
      </c>
      <c r="N64" s="25">
        <f>'g1'!L178</f>
        <v>0</v>
      </c>
      <c r="O64" s="64" t="str">
        <f t="shared" si="18"/>
        <v>---</v>
      </c>
      <c r="P64" s="25">
        <f>'g1'!M178</f>
        <v>1</v>
      </c>
      <c r="Q64" s="25">
        <f>'g1'!N178</f>
        <v>0</v>
      </c>
      <c r="R64" s="25">
        <f>'g1'!O178</f>
        <v>0</v>
      </c>
      <c r="S64" s="27">
        <f>'g1'!P178</f>
        <v>11</v>
      </c>
      <c r="U64" s="61" t="s">
        <v>43</v>
      </c>
    </row>
    <row r="65" ht="22.5" customHeight="1" spans="1:21">
      <c r="A65" s="17" t="s">
        <v>63</v>
      </c>
      <c r="B65" s="18">
        <f t="shared" ref="B65:H65" si="19">AVERAGE(B58:B64)</f>
        <v>6.57142857142857</v>
      </c>
      <c r="C65" s="19">
        <f t="shared" si="19"/>
        <v>9.85714285714286</v>
      </c>
      <c r="D65" s="19">
        <f t="shared" si="19"/>
        <v>3.28571428571429</v>
      </c>
      <c r="E65" s="19">
        <f t="shared" si="19"/>
        <v>4.42857142857143</v>
      </c>
      <c r="F65" s="19">
        <f t="shared" si="19"/>
        <v>0.857142857142857</v>
      </c>
      <c r="G65" s="19">
        <f t="shared" si="19"/>
        <v>3.14285714285714</v>
      </c>
      <c r="H65" s="19">
        <f t="shared" si="19"/>
        <v>4.85714285714286</v>
      </c>
      <c r="I65" s="36">
        <f t="shared" si="16"/>
        <v>64.7058823529412</v>
      </c>
      <c r="J65" s="19">
        <f>AVERAGE(J58:J64)</f>
        <v>0</v>
      </c>
      <c r="K65" s="19">
        <f>AVERAGE(K58:K64)</f>
        <v>0</v>
      </c>
      <c r="L65" s="65" t="str">
        <f t="shared" si="17"/>
        <v>---</v>
      </c>
      <c r="M65" s="19">
        <f>AVERAGE(M58:M64)</f>
        <v>0.285714285714286</v>
      </c>
      <c r="N65" s="19">
        <f>AVERAGE(N58:N64)</f>
        <v>2.28571428571429</v>
      </c>
      <c r="O65" s="36">
        <f t="shared" si="18"/>
        <v>12.5</v>
      </c>
      <c r="P65" s="19">
        <f>AVERAGE(P58:P64)</f>
        <v>2.57142857142857</v>
      </c>
      <c r="Q65" s="19">
        <f>AVERAGE(Q58:Q64)</f>
        <v>2.42857142857143</v>
      </c>
      <c r="R65" s="19">
        <f>AVERAGE(R58:R64)</f>
        <v>2.57142857142857</v>
      </c>
      <c r="S65" s="20">
        <f>AVERAGE(S58:S64)</f>
        <v>0.142857142857143</v>
      </c>
      <c r="U65" s="61" t="s">
        <v>43</v>
      </c>
    </row>
    <row r="66" spans="1:21">
      <c r="U66" s="61" t="s">
        <v>43</v>
      </c>
    </row>
    <row r="67" spans="1:21">
      <c r="U67" s="61" t="s">
        <v>43</v>
      </c>
    </row>
    <row r="68" spans="1:21">
      <c r="U68" s="61" t="s">
        <v>43</v>
      </c>
    </row>
    <row r="69" spans="1:21">
      <c r="U69" s="61" t="s">
        <v>43</v>
      </c>
    </row>
    <row r="70" spans="1:21">
      <c r="U70" s="61" t="s">
        <v>43</v>
      </c>
    </row>
    <row r="71" ht="28.5" customHeight="1" spans="1:21">
      <c r="A71" s="21" t="s">
        <v>32</v>
      </c>
      <c r="U71" s="61" t="s">
        <v>43</v>
      </c>
    </row>
    <row r="72" ht="22.5" customHeight="1" spans="1:21">
      <c r="A72" s="2" t="s">
        <v>44</v>
      </c>
      <c r="B72" s="22" t="s">
        <v>45</v>
      </c>
      <c r="C72" s="22" t="s">
        <v>46</v>
      </c>
      <c r="D72" s="22" t="s">
        <v>47</v>
      </c>
      <c r="E72" s="22" t="s">
        <v>48</v>
      </c>
      <c r="F72" s="22" t="s">
        <v>49</v>
      </c>
      <c r="G72" s="22" t="s">
        <v>50</v>
      </c>
      <c r="H72" s="22" t="s">
        <v>51</v>
      </c>
      <c r="I72" s="22" t="s">
        <v>52</v>
      </c>
      <c r="J72" s="22" t="s">
        <v>53</v>
      </c>
      <c r="K72" s="22" t="s">
        <v>54</v>
      </c>
      <c r="L72" s="22" t="s">
        <v>55</v>
      </c>
      <c r="M72" s="22" t="s">
        <v>56</v>
      </c>
      <c r="N72" s="22" t="s">
        <v>57</v>
      </c>
      <c r="O72" s="22" t="s">
        <v>58</v>
      </c>
      <c r="P72" s="22" t="s">
        <v>59</v>
      </c>
      <c r="Q72" s="22" t="s">
        <v>60</v>
      </c>
      <c r="R72" s="22" t="s">
        <v>61</v>
      </c>
      <c r="S72" s="23" t="s">
        <v>62</v>
      </c>
      <c r="U72" s="61" t="s">
        <v>43</v>
      </c>
    </row>
    <row r="73" ht="22.5" customHeight="1" spans="1:21">
      <c r="A73" s="5" t="str">
        <f>'g1'!A19</f>
        <v>J.Brown</v>
      </c>
      <c r="B73" s="24">
        <f>'g1'!B19</f>
        <v>15</v>
      </c>
      <c r="C73" s="25">
        <f>'g1'!C19</f>
        <v>6</v>
      </c>
      <c r="D73" s="25">
        <f>'g1'!D19</f>
        <v>2</v>
      </c>
      <c r="E73" s="25">
        <f>'g1'!E19</f>
        <v>0</v>
      </c>
      <c r="F73" s="25">
        <f>'g1'!F19</f>
        <v>1</v>
      </c>
      <c r="G73" s="25">
        <f>'g1'!G19</f>
        <v>6</v>
      </c>
      <c r="H73" s="25">
        <f>'g1'!H19</f>
        <v>10</v>
      </c>
      <c r="I73" s="26">
        <f t="shared" ref="I73:I80" si="20">IF(H73,G73/H73*100,U71)</f>
        <v>60</v>
      </c>
      <c r="J73" s="25">
        <f>'g1'!I19</f>
        <v>0</v>
      </c>
      <c r="K73" s="25">
        <f>'g1'!J19</f>
        <v>2</v>
      </c>
      <c r="L73" s="26">
        <f t="shared" ref="L73:L80" si="21">IF(K73,J73/K73*100,U71)</f>
        <v>0</v>
      </c>
      <c r="M73" s="25">
        <f>'g1'!K19</f>
        <v>3</v>
      </c>
      <c r="N73" s="25">
        <f>'g1'!L19</f>
        <v>3</v>
      </c>
      <c r="O73" s="26">
        <f t="shared" ref="O73:O80" si="22">IF(N73,M73/N73*100,U71)</f>
        <v>100</v>
      </c>
      <c r="P73" s="25">
        <f>'g1'!M19</f>
        <v>0</v>
      </c>
      <c r="Q73" s="25">
        <f>'g1'!N19</f>
        <v>2</v>
      </c>
      <c r="R73" s="25">
        <f>'g1'!O19</f>
        <v>1</v>
      </c>
      <c r="S73" s="27">
        <f>'g1'!P19</f>
        <v>-4</v>
      </c>
      <c r="U73" s="61" t="s">
        <v>43</v>
      </c>
    </row>
    <row r="74" ht="22.5" customHeight="1" spans="1:21">
      <c r="A74" s="5" t="str">
        <f>'g1'!A46</f>
        <v>J.Brown</v>
      </c>
      <c r="B74" s="24">
        <f>'g1'!B46</f>
        <v>9</v>
      </c>
      <c r="C74" s="25">
        <f>'g1'!C46</f>
        <v>6</v>
      </c>
      <c r="D74" s="25">
        <f>'g1'!D46</f>
        <v>4</v>
      </c>
      <c r="E74" s="25">
        <f>'g1'!E46</f>
        <v>3</v>
      </c>
      <c r="F74" s="25">
        <f>'g1'!F46</f>
        <v>0</v>
      </c>
      <c r="G74" s="25">
        <f>'g1'!G46</f>
        <v>4</v>
      </c>
      <c r="H74" s="25">
        <f>'g1'!H46</f>
        <v>13</v>
      </c>
      <c r="I74" s="26">
        <f t="shared" si="20"/>
        <v>30.7692307692308</v>
      </c>
      <c r="J74" s="25">
        <f>'g1'!I46</f>
        <v>1</v>
      </c>
      <c r="K74" s="25">
        <f>'g1'!J46</f>
        <v>4</v>
      </c>
      <c r="L74" s="26">
        <f t="shared" si="21"/>
        <v>25</v>
      </c>
      <c r="M74" s="25">
        <f>'g1'!K46</f>
        <v>0</v>
      </c>
      <c r="N74" s="25">
        <f>'g1'!L46</f>
        <v>0</v>
      </c>
      <c r="O74" s="64" t="str">
        <f t="shared" si="22"/>
        <v>---</v>
      </c>
      <c r="P74" s="25">
        <f>'g1'!M46</f>
        <v>1</v>
      </c>
      <c r="Q74" s="25">
        <f>'g1'!N46</f>
        <v>4</v>
      </c>
      <c r="R74" s="25">
        <f>'g1'!O46</f>
        <v>0</v>
      </c>
      <c r="S74" s="27">
        <f>'g1'!P46</f>
        <v>-17</v>
      </c>
      <c r="U74" s="61" t="s">
        <v>43</v>
      </c>
    </row>
    <row r="75" ht="22.5" customHeight="1" spans="1:21">
      <c r="A75" s="5" t="str">
        <f>'g1'!A73</f>
        <v>J.Brown</v>
      </c>
      <c r="B75" s="24">
        <f>'g1'!B73</f>
        <v>6</v>
      </c>
      <c r="C75" s="25">
        <f>'g1'!C73</f>
        <v>5</v>
      </c>
      <c r="D75" s="25">
        <f>'g1'!D73</f>
        <v>4</v>
      </c>
      <c r="E75" s="25">
        <f>'g1'!E73</f>
        <v>0</v>
      </c>
      <c r="F75" s="25">
        <f>'g1'!F73</f>
        <v>0</v>
      </c>
      <c r="G75" s="25">
        <f>'g1'!G73</f>
        <v>3</v>
      </c>
      <c r="H75" s="25">
        <f>'g1'!H73</f>
        <v>9</v>
      </c>
      <c r="I75" s="26">
        <f t="shared" si="20"/>
        <v>33.3333333333333</v>
      </c>
      <c r="J75" s="25">
        <f>'g1'!I73</f>
        <v>0</v>
      </c>
      <c r="K75" s="25">
        <f>'g1'!J73</f>
        <v>1</v>
      </c>
      <c r="L75" s="26">
        <f t="shared" si="21"/>
        <v>0</v>
      </c>
      <c r="M75" s="25">
        <f>'g1'!K73</f>
        <v>0</v>
      </c>
      <c r="N75" s="25">
        <f>'g1'!L73</f>
        <v>0</v>
      </c>
      <c r="O75" s="64" t="str">
        <f t="shared" si="22"/>
        <v>---</v>
      </c>
      <c r="P75" s="25">
        <f>'g1'!M73</f>
        <v>0</v>
      </c>
      <c r="Q75" s="25">
        <f>'g1'!N73</f>
        <v>3</v>
      </c>
      <c r="R75" s="25">
        <f>'g1'!O73</f>
        <v>1</v>
      </c>
      <c r="S75" s="27">
        <f>'g1'!P73</f>
        <v>-4</v>
      </c>
      <c r="U75" s="61" t="s">
        <v>43</v>
      </c>
    </row>
    <row r="76" ht="22.5" customHeight="1" spans="1:21">
      <c r="A76" s="5" t="str">
        <f>'g1'!A100</f>
        <v>J.Brown</v>
      </c>
      <c r="B76" s="24">
        <f>'g1'!B100</f>
        <v>7</v>
      </c>
      <c r="C76" s="25">
        <f>'g1'!C100</f>
        <v>3</v>
      </c>
      <c r="D76" s="25">
        <f>'g1'!D100</f>
        <v>7</v>
      </c>
      <c r="E76" s="25">
        <f>'g1'!E100</f>
        <v>4</v>
      </c>
      <c r="F76" s="25">
        <f>'g1'!F100</f>
        <v>0</v>
      </c>
      <c r="G76" s="25">
        <f>'g1'!G100</f>
        <v>2</v>
      </c>
      <c r="H76" s="25">
        <f>'g1'!H100</f>
        <v>7</v>
      </c>
      <c r="I76" s="26">
        <f t="shared" si="20"/>
        <v>28.5714285714286</v>
      </c>
      <c r="J76" s="25">
        <f>'g1'!I100</f>
        <v>0</v>
      </c>
      <c r="K76" s="25">
        <f>'g1'!J100</f>
        <v>3</v>
      </c>
      <c r="L76" s="26">
        <f t="shared" si="21"/>
        <v>0</v>
      </c>
      <c r="M76" s="25">
        <f>'g1'!K100</f>
        <v>3</v>
      </c>
      <c r="N76" s="25">
        <f>'g1'!L100</f>
        <v>4</v>
      </c>
      <c r="O76" s="26">
        <f t="shared" si="22"/>
        <v>75</v>
      </c>
      <c r="P76" s="25">
        <f>'g1'!M100</f>
        <v>0</v>
      </c>
      <c r="Q76" s="25">
        <f>'g1'!N100</f>
        <v>1</v>
      </c>
      <c r="R76" s="25">
        <f>'g1'!O100</f>
        <v>2</v>
      </c>
      <c r="S76" s="27">
        <f>'g1'!P100</f>
        <v>-2</v>
      </c>
      <c r="U76" s="61" t="s">
        <v>43</v>
      </c>
    </row>
    <row r="77" ht="22.5" customHeight="1" spans="1:21">
      <c r="A77" s="5" t="str">
        <f>'g1'!A127</f>
        <v>J.Brown</v>
      </c>
      <c r="B77" s="24">
        <f>'g1'!B127</f>
        <v>7</v>
      </c>
      <c r="C77" s="25">
        <f>'g1'!C127</f>
        <v>4</v>
      </c>
      <c r="D77" s="25">
        <f>'g1'!D127</f>
        <v>1</v>
      </c>
      <c r="E77" s="25">
        <f>'g1'!E127</f>
        <v>0</v>
      </c>
      <c r="F77" s="25">
        <f>'g1'!F127</f>
        <v>0</v>
      </c>
      <c r="G77" s="25">
        <f>'g1'!G127</f>
        <v>3</v>
      </c>
      <c r="H77" s="25">
        <f>'g1'!H127</f>
        <v>9</v>
      </c>
      <c r="I77" s="26">
        <f t="shared" si="20"/>
        <v>33.3333333333333</v>
      </c>
      <c r="J77" s="25">
        <f>'g1'!I127</f>
        <v>1</v>
      </c>
      <c r="K77" s="25">
        <f>'g1'!J127</f>
        <v>1</v>
      </c>
      <c r="L77" s="26">
        <f t="shared" si="21"/>
        <v>100</v>
      </c>
      <c r="M77" s="25">
        <f>'g1'!K127</f>
        <v>0</v>
      </c>
      <c r="N77" s="25">
        <f>'g1'!L127</f>
        <v>0</v>
      </c>
      <c r="O77" s="64" t="str">
        <f t="shared" si="22"/>
        <v>---</v>
      </c>
      <c r="P77" s="25">
        <f>'g1'!M127</f>
        <v>1</v>
      </c>
      <c r="Q77" s="25">
        <f>'g1'!N127</f>
        <v>1</v>
      </c>
      <c r="R77" s="25">
        <f>'g1'!O127</f>
        <v>2</v>
      </c>
      <c r="S77" s="27">
        <f>'g1'!P127</f>
        <v>-14</v>
      </c>
      <c r="U77" s="61" t="s">
        <v>43</v>
      </c>
    </row>
    <row r="78" ht="22.5" customHeight="1" spans="1:21">
      <c r="A78" s="5" t="str">
        <f>'g1'!A153</f>
        <v>J.Brown</v>
      </c>
      <c r="B78" s="24">
        <f>'g1'!B153</f>
        <v>10</v>
      </c>
      <c r="C78" s="25">
        <f>'g1'!C153</f>
        <v>2</v>
      </c>
      <c r="D78" s="25">
        <f>'g1'!D153</f>
        <v>1</v>
      </c>
      <c r="E78" s="25">
        <f>'g1'!E153</f>
        <v>2</v>
      </c>
      <c r="F78" s="25">
        <f>'g1'!F153</f>
        <v>0</v>
      </c>
      <c r="G78" s="25">
        <f>'g1'!G153</f>
        <v>4</v>
      </c>
      <c r="H78" s="25">
        <f>'g1'!H153</f>
        <v>8</v>
      </c>
      <c r="I78" s="26">
        <f t="shared" si="20"/>
        <v>50</v>
      </c>
      <c r="J78" s="25">
        <f>'g1'!I153</f>
        <v>1</v>
      </c>
      <c r="K78" s="25">
        <f>'g1'!J153</f>
        <v>4</v>
      </c>
      <c r="L78" s="26">
        <f t="shared" si="21"/>
        <v>25</v>
      </c>
      <c r="M78" s="25">
        <f>'g1'!K153</f>
        <v>1</v>
      </c>
      <c r="N78" s="25">
        <f>'g1'!L153</f>
        <v>2</v>
      </c>
      <c r="O78" s="26">
        <f t="shared" si="22"/>
        <v>50</v>
      </c>
      <c r="P78" s="25">
        <f>'g1'!M153</f>
        <v>0</v>
      </c>
      <c r="Q78" s="25">
        <f>'g1'!N153</f>
        <v>0</v>
      </c>
      <c r="R78" s="25">
        <f>'g1'!O153</f>
        <v>2</v>
      </c>
      <c r="S78" s="27">
        <f>'g1'!P153</f>
        <v>-11</v>
      </c>
      <c r="U78" s="61" t="s">
        <v>43</v>
      </c>
    </row>
    <row r="79" ht="22.5" customHeight="1" spans="1:21">
      <c r="A79" s="5" t="str">
        <f>'g1'!A179</f>
        <v>J.Brown</v>
      </c>
      <c r="B79" s="24">
        <f>'g1'!B179</f>
        <v>14</v>
      </c>
      <c r="C79" s="25">
        <f>'g1'!C179</f>
        <v>3</v>
      </c>
      <c r="D79" s="25">
        <f>'g1'!D179</f>
        <v>1</v>
      </c>
      <c r="E79" s="25">
        <f>'g1'!E179</f>
        <v>1</v>
      </c>
      <c r="F79" s="25">
        <f>'g1'!F179</f>
        <v>0</v>
      </c>
      <c r="G79" s="25">
        <f>'g1'!G179</f>
        <v>5</v>
      </c>
      <c r="H79" s="25">
        <f>'g1'!H179</f>
        <v>6</v>
      </c>
      <c r="I79" s="26">
        <f t="shared" si="20"/>
        <v>83.3333333333333</v>
      </c>
      <c r="J79" s="25">
        <f>'g1'!I179</f>
        <v>1</v>
      </c>
      <c r="K79" s="25">
        <f>'g1'!J179</f>
        <v>2</v>
      </c>
      <c r="L79" s="26">
        <f t="shared" si="21"/>
        <v>50</v>
      </c>
      <c r="M79" s="25">
        <f>'g1'!K179</f>
        <v>3</v>
      </c>
      <c r="N79" s="25">
        <f>'g1'!L179</f>
        <v>3</v>
      </c>
      <c r="O79" s="26">
        <f t="shared" si="22"/>
        <v>100</v>
      </c>
      <c r="P79" s="25">
        <f>'g1'!M179</f>
        <v>0</v>
      </c>
      <c r="Q79" s="25">
        <f>'g1'!N179</f>
        <v>1</v>
      </c>
      <c r="R79" s="25">
        <f>'g1'!O179</f>
        <v>3</v>
      </c>
      <c r="S79" s="27">
        <f>'g1'!P179</f>
        <v>-8</v>
      </c>
      <c r="U79" s="61" t="s">
        <v>43</v>
      </c>
    </row>
    <row r="80" ht="22.5" customHeight="1" spans="1:21">
      <c r="A80" s="17" t="s">
        <v>63</v>
      </c>
      <c r="B80" s="18">
        <f t="shared" ref="B80:H80" si="23">AVERAGE(B73:B79)</f>
        <v>9.71428571428571</v>
      </c>
      <c r="C80" s="19">
        <f t="shared" si="23"/>
        <v>4.14285714285714</v>
      </c>
      <c r="D80" s="19">
        <f t="shared" si="23"/>
        <v>2.85714285714286</v>
      </c>
      <c r="E80" s="19">
        <f t="shared" si="23"/>
        <v>1.42857142857143</v>
      </c>
      <c r="F80" s="19">
        <f t="shared" si="23"/>
        <v>0.142857142857143</v>
      </c>
      <c r="G80" s="19">
        <f t="shared" si="23"/>
        <v>3.85714285714286</v>
      </c>
      <c r="H80" s="19">
        <f t="shared" si="23"/>
        <v>8.85714285714286</v>
      </c>
      <c r="I80" s="36">
        <f t="shared" si="20"/>
        <v>43.5483870967742</v>
      </c>
      <c r="J80" s="19">
        <f>AVERAGE(J73:J79)</f>
        <v>0.571428571428571</v>
      </c>
      <c r="K80" s="19">
        <f>AVERAGE(K73:K79)</f>
        <v>2.42857142857143</v>
      </c>
      <c r="L80" s="36">
        <f t="shared" si="21"/>
        <v>23.5294117647059</v>
      </c>
      <c r="M80" s="19">
        <f>AVERAGE(M73:M79)</f>
        <v>1.42857142857143</v>
      </c>
      <c r="N80" s="19">
        <f>AVERAGE(N73:N79)</f>
        <v>1.71428571428571</v>
      </c>
      <c r="O80" s="36">
        <f t="shared" si="22"/>
        <v>83.3333333333333</v>
      </c>
      <c r="P80" s="19">
        <f>AVERAGE(P73:P79)</f>
        <v>0.285714285714286</v>
      </c>
      <c r="Q80" s="19">
        <f>AVERAGE(Q73:Q79)</f>
        <v>1.71428571428571</v>
      </c>
      <c r="R80" s="19">
        <f>AVERAGE(R73:R79)</f>
        <v>1.57142857142857</v>
      </c>
      <c r="S80" s="20">
        <f>AVERAGE(S73:S79)</f>
        <v>-8.57142857142857</v>
      </c>
      <c r="U80" s="61" t="s">
        <v>43</v>
      </c>
    </row>
    <row r="81" spans="1:21">
      <c r="U81" s="61" t="s">
        <v>43</v>
      </c>
    </row>
    <row r="82" spans="1:21">
      <c r="U82" s="61" t="s">
        <v>43</v>
      </c>
    </row>
    <row r="83" spans="1:21">
      <c r="U83" s="61" t="s">
        <v>43</v>
      </c>
    </row>
    <row r="84" spans="1:21">
      <c r="U84" s="61" t="s">
        <v>43</v>
      </c>
    </row>
    <row r="85" spans="1:21">
      <c r="U85" s="61" t="s">
        <v>43</v>
      </c>
    </row>
    <row r="86" ht="28.5" customHeight="1" spans="1:21">
      <c r="A86" s="21" t="s">
        <v>33</v>
      </c>
      <c r="U86" s="61" t="s">
        <v>43</v>
      </c>
    </row>
    <row r="87" ht="22.5" customHeight="1" spans="1:21">
      <c r="A87" s="2" t="s">
        <v>44</v>
      </c>
      <c r="B87" s="22" t="s">
        <v>45</v>
      </c>
      <c r="C87" s="22" t="s">
        <v>46</v>
      </c>
      <c r="D87" s="22" t="s">
        <v>47</v>
      </c>
      <c r="E87" s="22" t="s">
        <v>48</v>
      </c>
      <c r="F87" s="22" t="s">
        <v>49</v>
      </c>
      <c r="G87" s="22" t="s">
        <v>50</v>
      </c>
      <c r="H87" s="22" t="s">
        <v>51</v>
      </c>
      <c r="I87" s="22" t="s">
        <v>52</v>
      </c>
      <c r="J87" s="22" t="s">
        <v>53</v>
      </c>
      <c r="K87" s="22" t="s">
        <v>54</v>
      </c>
      <c r="L87" s="22" t="s">
        <v>55</v>
      </c>
      <c r="M87" s="22" t="s">
        <v>56</v>
      </c>
      <c r="N87" s="22" t="s">
        <v>57</v>
      </c>
      <c r="O87" s="22" t="s">
        <v>58</v>
      </c>
      <c r="P87" s="22" t="s">
        <v>59</v>
      </c>
      <c r="Q87" s="22" t="s">
        <v>60</v>
      </c>
      <c r="R87" s="22" t="s">
        <v>61</v>
      </c>
      <c r="S87" s="23" t="s">
        <v>62</v>
      </c>
      <c r="U87" s="61" t="s">
        <v>43</v>
      </c>
    </row>
    <row r="88" ht="22.5" customHeight="1" spans="1:21">
      <c r="A88" s="5" t="str">
        <f>'g1'!A20</f>
        <v>T.Rozier III</v>
      </c>
      <c r="B88" s="24">
        <f>'g1'!B20</f>
        <v>5</v>
      </c>
      <c r="C88" s="25">
        <f>'g1'!C20</f>
        <v>1</v>
      </c>
      <c r="D88" s="25">
        <f>'g1'!D20</f>
        <v>2</v>
      </c>
      <c r="E88" s="25">
        <f>'g1'!E20</f>
        <v>1</v>
      </c>
      <c r="F88" s="25">
        <f>'g1'!F20</f>
        <v>0</v>
      </c>
      <c r="G88" s="25">
        <f>'g1'!G20</f>
        <v>2</v>
      </c>
      <c r="H88" s="25">
        <f>'g1'!H20</f>
        <v>2</v>
      </c>
      <c r="I88" s="26">
        <f t="shared" ref="I88:I95" si="24">IF(H88,G88/H88*100,U86)</f>
        <v>100</v>
      </c>
      <c r="J88" s="25">
        <f>'g1'!I20</f>
        <v>0</v>
      </c>
      <c r="K88" s="25">
        <f>'g1'!J20</f>
        <v>0</v>
      </c>
      <c r="L88" s="64" t="str">
        <f t="shared" ref="L88:L95" si="25">IF(K88,J88/K88*100,U86)</f>
        <v>---</v>
      </c>
      <c r="M88" s="25">
        <f>'g1'!K20</f>
        <v>1</v>
      </c>
      <c r="N88" s="25">
        <f>'g1'!L20</f>
        <v>2</v>
      </c>
      <c r="O88" s="26">
        <f t="shared" ref="O88:O95" si="26">IF(N88,M88/N88*100,U86)</f>
        <v>50</v>
      </c>
      <c r="P88" s="25">
        <f>'g1'!M20</f>
        <v>0</v>
      </c>
      <c r="Q88" s="25">
        <f>'g1'!N20</f>
        <v>1</v>
      </c>
      <c r="R88" s="25">
        <f>'g1'!O20</f>
        <v>2</v>
      </c>
      <c r="S88" s="27">
        <f>'g1'!P20</f>
        <v>-11</v>
      </c>
      <c r="U88" s="61" t="s">
        <v>43</v>
      </c>
    </row>
    <row r="89" ht="22.5" customHeight="1" spans="1:21">
      <c r="A89" s="5" t="str">
        <f>'g1'!A47</f>
        <v>T.Rozier III</v>
      </c>
      <c r="B89" s="24">
        <f>'g1'!B47</f>
        <v>11</v>
      </c>
      <c r="C89" s="25">
        <f>'g1'!C47</f>
        <v>6</v>
      </c>
      <c r="D89" s="25">
        <f>'g1'!D47</f>
        <v>2</v>
      </c>
      <c r="E89" s="25">
        <f>'g1'!E47</f>
        <v>0</v>
      </c>
      <c r="F89" s="25">
        <f>'g1'!F47</f>
        <v>0</v>
      </c>
      <c r="G89" s="25">
        <f>'g1'!G47</f>
        <v>4</v>
      </c>
      <c r="H89" s="25">
        <f>'g1'!H47</f>
        <v>10</v>
      </c>
      <c r="I89" s="26">
        <f t="shared" si="24"/>
        <v>40</v>
      </c>
      <c r="J89" s="25">
        <f>'g1'!I47</f>
        <v>0</v>
      </c>
      <c r="K89" s="25">
        <f>'g1'!J47</f>
        <v>0</v>
      </c>
      <c r="L89" s="64" t="str">
        <f t="shared" si="25"/>
        <v>---</v>
      </c>
      <c r="M89" s="25">
        <f>'g1'!K47</f>
        <v>3</v>
      </c>
      <c r="N89" s="25">
        <f>'g1'!L47</f>
        <v>3</v>
      </c>
      <c r="O89" s="26">
        <f t="shared" si="26"/>
        <v>100</v>
      </c>
      <c r="P89" s="25">
        <f>'g1'!M47</f>
        <v>1</v>
      </c>
      <c r="Q89" s="25">
        <f>'g1'!N47</f>
        <v>4</v>
      </c>
      <c r="R89" s="25">
        <f>'g1'!O47</f>
        <v>1</v>
      </c>
      <c r="S89" s="27">
        <f>'g1'!P47</f>
        <v>-6</v>
      </c>
      <c r="U89" s="61" t="s">
        <v>43</v>
      </c>
    </row>
    <row r="90" ht="22.5" customHeight="1" spans="1:21">
      <c r="A90" s="5" t="str">
        <f>'g1'!A74</f>
        <v>T.Rozier III</v>
      </c>
      <c r="B90" s="24">
        <f>'g1'!B74</f>
        <v>7</v>
      </c>
      <c r="C90" s="25">
        <f>'g1'!C74</f>
        <v>1</v>
      </c>
      <c r="D90" s="25">
        <f>'g1'!D74</f>
        <v>1</v>
      </c>
      <c r="E90" s="25">
        <f>'g1'!E74</f>
        <v>1</v>
      </c>
      <c r="F90" s="25">
        <f>'g1'!F74</f>
        <v>1</v>
      </c>
      <c r="G90" s="25">
        <f>'g1'!G74</f>
        <v>3</v>
      </c>
      <c r="H90" s="25">
        <f>'g1'!H74</f>
        <v>8</v>
      </c>
      <c r="I90" s="26">
        <f t="shared" si="24"/>
        <v>37.5</v>
      </c>
      <c r="J90" s="25">
        <f>'g1'!I74</f>
        <v>0</v>
      </c>
      <c r="K90" s="25">
        <f>'g1'!J74</f>
        <v>0</v>
      </c>
      <c r="L90" s="64" t="str">
        <f t="shared" si="25"/>
        <v>---</v>
      </c>
      <c r="M90" s="25">
        <f>'g1'!K74</f>
        <v>1</v>
      </c>
      <c r="N90" s="25">
        <f>'g1'!L74</f>
        <v>2</v>
      </c>
      <c r="O90" s="26">
        <f t="shared" si="26"/>
        <v>50</v>
      </c>
      <c r="P90" s="25">
        <f>'g1'!M74</f>
        <v>0</v>
      </c>
      <c r="Q90" s="25">
        <f>'g1'!N74</f>
        <v>4</v>
      </c>
      <c r="R90" s="25">
        <f>'g1'!O74</f>
        <v>0</v>
      </c>
      <c r="S90" s="27">
        <f>'g1'!P74</f>
        <v>-15</v>
      </c>
      <c r="U90" s="61" t="s">
        <v>43</v>
      </c>
    </row>
    <row r="91" ht="22.5" customHeight="1" spans="1:21">
      <c r="A91" s="5" t="str">
        <f>'g1'!A101</f>
        <v>T.Rozier III</v>
      </c>
      <c r="B91" s="24">
        <f>'g1'!B101</f>
        <v>14</v>
      </c>
      <c r="C91" s="25">
        <f>'g1'!C101</f>
        <v>2</v>
      </c>
      <c r="D91" s="25">
        <f>'g1'!D101</f>
        <v>3</v>
      </c>
      <c r="E91" s="25">
        <f>'g1'!E101</f>
        <v>0</v>
      </c>
      <c r="F91" s="25">
        <f>'g1'!F101</f>
        <v>1</v>
      </c>
      <c r="G91" s="25">
        <f>'g1'!G101</f>
        <v>5</v>
      </c>
      <c r="H91" s="25">
        <f>'g1'!H101</f>
        <v>7</v>
      </c>
      <c r="I91" s="26">
        <f t="shared" si="24"/>
        <v>71.4285714285714</v>
      </c>
      <c r="J91" s="25">
        <f>'g1'!I101</f>
        <v>0</v>
      </c>
      <c r="K91" s="25">
        <f>'g1'!J101</f>
        <v>0</v>
      </c>
      <c r="L91" s="64" t="str">
        <f t="shared" si="25"/>
        <v>---</v>
      </c>
      <c r="M91" s="25">
        <f>'g1'!K101</f>
        <v>4</v>
      </c>
      <c r="N91" s="25">
        <f>'g1'!L101</f>
        <v>5</v>
      </c>
      <c r="O91" s="26">
        <f t="shared" si="26"/>
        <v>80</v>
      </c>
      <c r="P91" s="25">
        <f>'g1'!M101</f>
        <v>0</v>
      </c>
      <c r="Q91" s="25">
        <f>'g1'!N101</f>
        <v>3</v>
      </c>
      <c r="R91" s="25">
        <f>'g1'!O101</f>
        <v>2</v>
      </c>
      <c r="S91" s="27">
        <f>'g1'!P101</f>
        <v>-3</v>
      </c>
      <c r="U91" s="61" t="s">
        <v>43</v>
      </c>
    </row>
    <row r="92" ht="22.5" customHeight="1" spans="1:21">
      <c r="A92" s="5" t="str">
        <f>'g1'!A128</f>
        <v>T.Rozier III</v>
      </c>
      <c r="B92" s="24">
        <f>'g1'!B128</f>
        <v>9</v>
      </c>
      <c r="C92" s="25">
        <f>'g1'!C128</f>
        <v>3</v>
      </c>
      <c r="D92" s="25">
        <f>'g1'!D128</f>
        <v>2</v>
      </c>
      <c r="E92" s="25">
        <f>'g1'!E128</f>
        <v>1</v>
      </c>
      <c r="F92" s="25">
        <f>'g1'!F128</f>
        <v>0</v>
      </c>
      <c r="G92" s="25">
        <f>'g1'!G128</f>
        <v>3</v>
      </c>
      <c r="H92" s="25">
        <f>'g1'!H128</f>
        <v>11</v>
      </c>
      <c r="I92" s="26">
        <f t="shared" si="24"/>
        <v>27.2727272727273</v>
      </c>
      <c r="J92" s="25">
        <f>'g1'!I128</f>
        <v>2</v>
      </c>
      <c r="K92" s="25">
        <f>'g1'!J128</f>
        <v>4</v>
      </c>
      <c r="L92" s="26">
        <f t="shared" si="25"/>
        <v>50</v>
      </c>
      <c r="M92" s="25">
        <f>'g1'!K128</f>
        <v>1</v>
      </c>
      <c r="N92" s="25">
        <f>'g1'!L128</f>
        <v>2</v>
      </c>
      <c r="O92" s="26">
        <f t="shared" si="26"/>
        <v>50</v>
      </c>
      <c r="P92" s="25">
        <f>'g1'!M128</f>
        <v>0</v>
      </c>
      <c r="Q92" s="25">
        <f>'g1'!N128</f>
        <v>4</v>
      </c>
      <c r="R92" s="25">
        <f>'g1'!O128</f>
        <v>0</v>
      </c>
      <c r="S92" s="27">
        <f>'g1'!P128</f>
        <v>-16</v>
      </c>
      <c r="U92" s="61" t="s">
        <v>43</v>
      </c>
    </row>
    <row r="93" ht="22.5" customHeight="1" spans="1:21">
      <c r="A93" s="5" t="str">
        <f>'g1'!A154</f>
        <v>T.Rozier III</v>
      </c>
      <c r="B93" s="24">
        <f>'g1'!B154</f>
        <v>2</v>
      </c>
      <c r="C93" s="25">
        <f>'g1'!C154</f>
        <v>3</v>
      </c>
      <c r="D93" s="25">
        <f>'g1'!D154</f>
        <v>3</v>
      </c>
      <c r="E93" s="25">
        <f>'g1'!E154</f>
        <v>1</v>
      </c>
      <c r="F93" s="25">
        <f>'g1'!F154</f>
        <v>1</v>
      </c>
      <c r="G93" s="25">
        <f>'g1'!G154</f>
        <v>1</v>
      </c>
      <c r="H93" s="25">
        <f>'g1'!H154</f>
        <v>3</v>
      </c>
      <c r="I93" s="26">
        <f t="shared" si="24"/>
        <v>33.3333333333333</v>
      </c>
      <c r="J93" s="25">
        <f>'g1'!I154</f>
        <v>0</v>
      </c>
      <c r="K93" s="25">
        <f>'g1'!J154</f>
        <v>0</v>
      </c>
      <c r="L93" s="64" t="str">
        <f t="shared" si="25"/>
        <v>---</v>
      </c>
      <c r="M93" s="25">
        <f>'g1'!K154</f>
        <v>0</v>
      </c>
      <c r="N93" s="25">
        <f>'g1'!L154</f>
        <v>2</v>
      </c>
      <c r="O93" s="26">
        <f t="shared" si="26"/>
        <v>0</v>
      </c>
      <c r="P93" s="25">
        <f>'g1'!M154</f>
        <v>0</v>
      </c>
      <c r="Q93" s="25">
        <f>'g1'!N154</f>
        <v>1</v>
      </c>
      <c r="R93" s="25">
        <f>'g1'!O154</f>
        <v>5</v>
      </c>
      <c r="S93" s="27">
        <f>'g1'!P154</f>
        <v>-5</v>
      </c>
      <c r="U93" s="61" t="s">
        <v>43</v>
      </c>
    </row>
    <row r="94" ht="22.5" customHeight="1" spans="1:21">
      <c r="A94" s="5" t="str">
        <f>'g1'!A180</f>
        <v>T.Rozier III</v>
      </c>
      <c r="B94" s="24">
        <f>'g1'!B180</f>
        <v>2</v>
      </c>
      <c r="C94" s="25">
        <f>'g1'!C180</f>
        <v>0</v>
      </c>
      <c r="D94" s="25">
        <f>'g1'!D180</f>
        <v>3</v>
      </c>
      <c r="E94" s="25">
        <f>'g1'!E180</f>
        <v>0</v>
      </c>
      <c r="F94" s="25">
        <f>'g1'!F180</f>
        <v>0</v>
      </c>
      <c r="G94" s="25">
        <f>'g1'!G180</f>
        <v>1</v>
      </c>
      <c r="H94" s="25">
        <f>'g1'!H180</f>
        <v>2</v>
      </c>
      <c r="I94" s="26">
        <f t="shared" si="24"/>
        <v>50</v>
      </c>
      <c r="J94" s="25">
        <f>'g1'!I180</f>
        <v>0</v>
      </c>
      <c r="K94" s="25">
        <f>'g1'!J180</f>
        <v>0</v>
      </c>
      <c r="L94" s="64" t="str">
        <f t="shared" si="25"/>
        <v>---</v>
      </c>
      <c r="M94" s="25">
        <f>'g1'!K180</f>
        <v>0</v>
      </c>
      <c r="N94" s="25">
        <f>'g1'!L180</f>
        <v>0</v>
      </c>
      <c r="O94" s="64" t="str">
        <f t="shared" si="26"/>
        <v>---</v>
      </c>
      <c r="P94" s="25">
        <f>'g1'!M180</f>
        <v>0</v>
      </c>
      <c r="Q94" s="25">
        <f>'g1'!N180</f>
        <v>1</v>
      </c>
      <c r="R94" s="25">
        <f>'g1'!O180</f>
        <v>2</v>
      </c>
      <c r="S94" s="27">
        <f>'g1'!P180</f>
        <v>-10</v>
      </c>
      <c r="U94" s="61" t="s">
        <v>43</v>
      </c>
    </row>
    <row r="95" ht="22.5" customHeight="1" spans="1:21">
      <c r="A95" s="17" t="s">
        <v>63</v>
      </c>
      <c r="B95" s="18">
        <f t="shared" ref="B95:H95" si="27">AVERAGE(B88:B94)</f>
        <v>7.14285714285714</v>
      </c>
      <c r="C95" s="19">
        <f t="shared" si="27"/>
        <v>2.28571428571429</v>
      </c>
      <c r="D95" s="19">
        <f t="shared" si="27"/>
        <v>2.28571428571429</v>
      </c>
      <c r="E95" s="19">
        <f t="shared" si="27"/>
        <v>0.571428571428571</v>
      </c>
      <c r="F95" s="19">
        <f t="shared" si="27"/>
        <v>0.428571428571429</v>
      </c>
      <c r="G95" s="19">
        <f t="shared" si="27"/>
        <v>2.71428571428571</v>
      </c>
      <c r="H95" s="19">
        <f t="shared" si="27"/>
        <v>6.14285714285714</v>
      </c>
      <c r="I95" s="36">
        <f t="shared" si="24"/>
        <v>44.1860465116279</v>
      </c>
      <c r="J95" s="19">
        <f>AVERAGE(J88:J94)</f>
        <v>0.285714285714286</v>
      </c>
      <c r="K95" s="19">
        <f>AVERAGE(K88:K94)</f>
        <v>0.571428571428571</v>
      </c>
      <c r="L95" s="36">
        <f t="shared" si="25"/>
        <v>50</v>
      </c>
      <c r="M95" s="19">
        <f>AVERAGE(M88:M94)</f>
        <v>1.42857142857143</v>
      </c>
      <c r="N95" s="19">
        <f>AVERAGE(N88:N94)</f>
        <v>2.28571428571429</v>
      </c>
      <c r="O95" s="36">
        <f t="shared" si="26"/>
        <v>62.5</v>
      </c>
      <c r="P95" s="19">
        <f>AVERAGE(P88:P94)</f>
        <v>0.142857142857143</v>
      </c>
      <c r="Q95" s="19">
        <f>AVERAGE(Q88:Q94)</f>
        <v>2.57142857142857</v>
      </c>
      <c r="R95" s="19">
        <f>AVERAGE(R88:R94)</f>
        <v>1.71428571428571</v>
      </c>
      <c r="S95" s="20">
        <f>AVERAGE(S88:S94)</f>
        <v>-9.42857142857143</v>
      </c>
      <c r="U95" s="61" t="s">
        <v>43</v>
      </c>
    </row>
    <row r="96" spans="1:21">
      <c r="U96" s="61" t="s">
        <v>43</v>
      </c>
    </row>
    <row r="97" spans="1:21">
      <c r="U97" s="61" t="s">
        <v>43</v>
      </c>
    </row>
    <row r="98" spans="1:21">
      <c r="U98" s="61" t="s">
        <v>43</v>
      </c>
    </row>
    <row r="99" spans="1:21">
      <c r="U99" s="61" t="s">
        <v>43</v>
      </c>
    </row>
    <row r="100" spans="1:21">
      <c r="U100" s="61" t="s">
        <v>43</v>
      </c>
    </row>
    <row r="101" ht="28.5" customHeight="1" spans="1:21">
      <c r="A101" s="21" t="s">
        <v>34</v>
      </c>
      <c r="U101" s="61" t="s">
        <v>43</v>
      </c>
    </row>
    <row r="102" ht="22.5" customHeight="1" spans="1:21">
      <c r="A102" s="2" t="s">
        <v>44</v>
      </c>
      <c r="B102" s="22" t="s">
        <v>45</v>
      </c>
      <c r="C102" s="22" t="s">
        <v>46</v>
      </c>
      <c r="D102" s="22" t="s">
        <v>47</v>
      </c>
      <c r="E102" s="22" t="s">
        <v>48</v>
      </c>
      <c r="F102" s="22" t="s">
        <v>49</v>
      </c>
      <c r="G102" s="22" t="s">
        <v>50</v>
      </c>
      <c r="H102" s="22" t="s">
        <v>51</v>
      </c>
      <c r="I102" s="22" t="s">
        <v>52</v>
      </c>
      <c r="J102" s="22" t="s">
        <v>53</v>
      </c>
      <c r="K102" s="22" t="s">
        <v>54</v>
      </c>
      <c r="L102" s="22" t="s">
        <v>55</v>
      </c>
      <c r="M102" s="22" t="s">
        <v>56</v>
      </c>
      <c r="N102" s="22" t="s">
        <v>57</v>
      </c>
      <c r="O102" s="22" t="s">
        <v>58</v>
      </c>
      <c r="P102" s="22" t="s">
        <v>59</v>
      </c>
      <c r="Q102" s="22" t="s">
        <v>60</v>
      </c>
      <c r="R102" s="22" t="s">
        <v>61</v>
      </c>
      <c r="S102" s="23" t="s">
        <v>62</v>
      </c>
      <c r="U102" s="61" t="s">
        <v>43</v>
      </c>
    </row>
    <row r="103" ht="22.5" customHeight="1" spans="1:21">
      <c r="A103" s="5" t="str">
        <f>'g1'!A21</f>
        <v>M.Wagner</v>
      </c>
      <c r="B103" s="24">
        <f>'g1'!B21</f>
        <v>4</v>
      </c>
      <c r="C103" s="25">
        <f>'g1'!C21</f>
        <v>3</v>
      </c>
      <c r="D103" s="25">
        <f>'g1'!D21</f>
        <v>1</v>
      </c>
      <c r="E103" s="25">
        <f>'g1'!E21</f>
        <v>3</v>
      </c>
      <c r="F103" s="25">
        <f>'g1'!F21</f>
        <v>0</v>
      </c>
      <c r="G103" s="25">
        <f>'g1'!G21</f>
        <v>2</v>
      </c>
      <c r="H103" s="25">
        <f>'g1'!H21</f>
        <v>2</v>
      </c>
      <c r="I103" s="26">
        <f t="shared" ref="I103:I110" si="28">IF(H103,G103/H103*100,U101)</f>
        <v>100</v>
      </c>
      <c r="J103" s="25">
        <f>'g1'!I21</f>
        <v>0</v>
      </c>
      <c r="K103" s="25">
        <f>'g1'!J21</f>
        <v>1</v>
      </c>
      <c r="L103" s="26">
        <f t="shared" ref="L103:L110" si="29">IF(K103,J103/K103*100,U101)</f>
        <v>0</v>
      </c>
      <c r="M103" s="25">
        <f>'g1'!K21</f>
        <v>0</v>
      </c>
      <c r="N103" s="25">
        <f>'g1'!L21</f>
        <v>0</v>
      </c>
      <c r="O103" s="64" t="str">
        <f t="shared" ref="O103:O110" si="30">IF(N103,M103/N103*100,U101)</f>
        <v>---</v>
      </c>
      <c r="P103" s="25">
        <f>'g1'!M21</f>
        <v>0</v>
      </c>
      <c r="Q103" s="25">
        <f>'g1'!N21</f>
        <v>0</v>
      </c>
      <c r="R103" s="25">
        <f>'g1'!O21</f>
        <v>0</v>
      </c>
      <c r="S103" s="27">
        <f>'g1'!P21</f>
        <v>2</v>
      </c>
      <c r="U103" s="61" t="s">
        <v>43</v>
      </c>
    </row>
    <row r="104" ht="22.5" customHeight="1" spans="1:21">
      <c r="A104" s="5" t="str">
        <f>'g1'!A48</f>
        <v>M.Wagner</v>
      </c>
      <c r="B104" s="24">
        <f>'g1'!B48</f>
        <v>4</v>
      </c>
      <c r="C104" s="25">
        <f>'g1'!C48</f>
        <v>3</v>
      </c>
      <c r="D104" s="25">
        <f>'g1'!D48</f>
        <v>1</v>
      </c>
      <c r="E104" s="25">
        <f>'g1'!E48</f>
        <v>1</v>
      </c>
      <c r="F104" s="25">
        <f>'g1'!F48</f>
        <v>0</v>
      </c>
      <c r="G104" s="25">
        <f>'g1'!G48</f>
        <v>1</v>
      </c>
      <c r="H104" s="25">
        <f>'g1'!H48</f>
        <v>1</v>
      </c>
      <c r="I104" s="26">
        <f t="shared" si="28"/>
        <v>100</v>
      </c>
      <c r="J104" s="25">
        <f>'g1'!I48</f>
        <v>0</v>
      </c>
      <c r="K104" s="25">
        <f>'g1'!J48</f>
        <v>0</v>
      </c>
      <c r="L104" s="64" t="str">
        <f t="shared" si="29"/>
        <v>---</v>
      </c>
      <c r="M104" s="25">
        <f>'g1'!K48</f>
        <v>2</v>
      </c>
      <c r="N104" s="25">
        <f>'g1'!L48</f>
        <v>3</v>
      </c>
      <c r="O104" s="26">
        <f t="shared" si="30"/>
        <v>66.6666666666667</v>
      </c>
      <c r="P104" s="25">
        <f>'g1'!M48</f>
        <v>0</v>
      </c>
      <c r="Q104" s="25">
        <f>'g1'!N48</f>
        <v>1</v>
      </c>
      <c r="R104" s="25">
        <f>'g1'!O48</f>
        <v>0</v>
      </c>
      <c r="S104" s="27">
        <f>'g1'!P48</f>
        <v>5</v>
      </c>
      <c r="U104" s="61" t="s">
        <v>43</v>
      </c>
    </row>
    <row r="105" ht="22.5" customHeight="1" spans="1:21">
      <c r="A105" s="5" t="str">
        <f>'g1'!A75</f>
        <v>M.Wagner</v>
      </c>
      <c r="B105" s="24">
        <f>'g1'!B75</f>
        <v>5</v>
      </c>
      <c r="C105" s="25">
        <f>'g1'!C75</f>
        <v>5</v>
      </c>
      <c r="D105" s="25">
        <f>'g1'!D75</f>
        <v>1</v>
      </c>
      <c r="E105" s="25">
        <f>'g1'!E75</f>
        <v>1</v>
      </c>
      <c r="F105" s="25">
        <f>'g1'!F75</f>
        <v>0</v>
      </c>
      <c r="G105" s="25">
        <f>'g1'!G75</f>
        <v>2</v>
      </c>
      <c r="H105" s="25">
        <f>'g1'!H75</f>
        <v>2</v>
      </c>
      <c r="I105" s="26">
        <f t="shared" si="28"/>
        <v>100</v>
      </c>
      <c r="J105" s="25">
        <f>'g1'!I75</f>
        <v>0</v>
      </c>
      <c r="K105" s="25">
        <f>'g1'!J75</f>
        <v>0</v>
      </c>
      <c r="L105" s="64" t="str">
        <f t="shared" si="29"/>
        <v>---</v>
      </c>
      <c r="M105" s="25">
        <f>'g1'!K75</f>
        <v>1</v>
      </c>
      <c r="N105" s="25">
        <f>'g1'!L75</f>
        <v>1</v>
      </c>
      <c r="O105" s="26">
        <f t="shared" si="30"/>
        <v>100</v>
      </c>
      <c r="P105" s="25">
        <f>'g1'!M75</f>
        <v>1</v>
      </c>
      <c r="Q105" s="25">
        <f>'g1'!N75</f>
        <v>0</v>
      </c>
      <c r="R105" s="25">
        <f>'g1'!O75</f>
        <v>0</v>
      </c>
      <c r="S105" s="27">
        <f>'g1'!P75</f>
        <v>5</v>
      </c>
      <c r="U105" s="61" t="s">
        <v>43</v>
      </c>
    </row>
    <row r="106" ht="22.5" customHeight="1" spans="1:21">
      <c r="A106" s="5" t="str">
        <f>'g1'!A102</f>
        <v>M.Wagner</v>
      </c>
      <c r="B106" s="24">
        <f>'g1'!B102</f>
        <v>12</v>
      </c>
      <c r="C106" s="25">
        <f>'g1'!C102</f>
        <v>2</v>
      </c>
      <c r="D106" s="25">
        <f>'g1'!D102</f>
        <v>1</v>
      </c>
      <c r="E106" s="25">
        <f>'g1'!E102</f>
        <v>0</v>
      </c>
      <c r="F106" s="25">
        <f>'g1'!F102</f>
        <v>0</v>
      </c>
      <c r="G106" s="25">
        <f>'g1'!G102</f>
        <v>3</v>
      </c>
      <c r="H106" s="25">
        <f>'g1'!H102</f>
        <v>5</v>
      </c>
      <c r="I106" s="26">
        <f t="shared" si="28"/>
        <v>60</v>
      </c>
      <c r="J106" s="25">
        <f>'g1'!I102</f>
        <v>1</v>
      </c>
      <c r="K106" s="25">
        <f>'g1'!J102</f>
        <v>1</v>
      </c>
      <c r="L106" s="26">
        <f t="shared" si="29"/>
        <v>100</v>
      </c>
      <c r="M106" s="25">
        <f>'g1'!K102</f>
        <v>5</v>
      </c>
      <c r="N106" s="25">
        <f>'g1'!L102</f>
        <v>5</v>
      </c>
      <c r="O106" s="26">
        <f t="shared" si="30"/>
        <v>100</v>
      </c>
      <c r="P106" s="25">
        <f>'g1'!M102</f>
        <v>0</v>
      </c>
      <c r="Q106" s="25">
        <f>'g1'!N102</f>
        <v>1</v>
      </c>
      <c r="R106" s="25">
        <f>'g1'!O102</f>
        <v>0</v>
      </c>
      <c r="S106" s="27">
        <f>'g1'!P102</f>
        <v>-11</v>
      </c>
      <c r="U106" s="61" t="s">
        <v>43</v>
      </c>
    </row>
    <row r="107" ht="22.5" customHeight="1" spans="1:21">
      <c r="A107" s="5" t="str">
        <f>'g1'!A129</f>
        <v>M.Wagner</v>
      </c>
      <c r="B107" s="24">
        <f>'g1'!B129</f>
        <v>18</v>
      </c>
      <c r="C107" s="25">
        <f>'g1'!C129</f>
        <v>5</v>
      </c>
      <c r="D107" s="25">
        <f>'g1'!D129</f>
        <v>1</v>
      </c>
      <c r="E107" s="25">
        <f>'g1'!E129</f>
        <v>0</v>
      </c>
      <c r="F107" s="25">
        <f>'g1'!F129</f>
        <v>0</v>
      </c>
      <c r="G107" s="25">
        <f>'g1'!G129</f>
        <v>8</v>
      </c>
      <c r="H107" s="25">
        <f>'g1'!H129</f>
        <v>12</v>
      </c>
      <c r="I107" s="26">
        <f t="shared" si="28"/>
        <v>66.6666666666667</v>
      </c>
      <c r="J107" s="25">
        <f>'g1'!I129</f>
        <v>1</v>
      </c>
      <c r="K107" s="25">
        <f>'g1'!J129</f>
        <v>1</v>
      </c>
      <c r="L107" s="26">
        <f t="shared" si="29"/>
        <v>100</v>
      </c>
      <c r="M107" s="25">
        <f>'g1'!K129</f>
        <v>1</v>
      </c>
      <c r="N107" s="25">
        <f>'g1'!L129</f>
        <v>1</v>
      </c>
      <c r="O107" s="26">
        <f t="shared" si="30"/>
        <v>100</v>
      </c>
      <c r="P107" s="25">
        <f>'g1'!M129</f>
        <v>2</v>
      </c>
      <c r="Q107" s="25">
        <f>'g1'!N129</f>
        <v>1</v>
      </c>
      <c r="R107" s="25">
        <f>'g1'!O129</f>
        <v>0</v>
      </c>
      <c r="S107" s="27">
        <f>'g1'!P129</f>
        <v>-16</v>
      </c>
      <c r="U107" s="61" t="s">
        <v>43</v>
      </c>
    </row>
    <row r="108" ht="22.5" customHeight="1" spans="1:21">
      <c r="A108" s="5" t="str">
        <f>'g1'!A155</f>
        <v>M.Wagner</v>
      </c>
      <c r="B108" s="24">
        <f>'g1'!B155</f>
        <v>2</v>
      </c>
      <c r="C108" s="25">
        <f>'g1'!C155</f>
        <v>4</v>
      </c>
      <c r="D108" s="25">
        <f>'g1'!D155</f>
        <v>0</v>
      </c>
      <c r="E108" s="25">
        <f>'g1'!E155</f>
        <v>0</v>
      </c>
      <c r="F108" s="25">
        <f>'g1'!F155</f>
        <v>0</v>
      </c>
      <c r="G108" s="25">
        <f>'g1'!G155</f>
        <v>1</v>
      </c>
      <c r="H108" s="25">
        <f>'g1'!H155</f>
        <v>2</v>
      </c>
      <c r="I108" s="26">
        <f t="shared" si="28"/>
        <v>50</v>
      </c>
      <c r="J108" s="25">
        <f>'g1'!I155</f>
        <v>0</v>
      </c>
      <c r="K108" s="25">
        <f>'g1'!J155</f>
        <v>0</v>
      </c>
      <c r="L108" s="64" t="str">
        <f t="shared" si="29"/>
        <v>---</v>
      </c>
      <c r="M108" s="25">
        <f>'g1'!K155</f>
        <v>0</v>
      </c>
      <c r="N108" s="25">
        <f>'g1'!L155</f>
        <v>0</v>
      </c>
      <c r="O108" s="64" t="str">
        <f t="shared" si="30"/>
        <v>---</v>
      </c>
      <c r="P108" s="25">
        <f>'g1'!M155</f>
        <v>2</v>
      </c>
      <c r="Q108" s="25">
        <f>'g1'!N155</f>
        <v>2</v>
      </c>
      <c r="R108" s="25">
        <f>'g1'!O155</f>
        <v>0</v>
      </c>
      <c r="S108" s="27">
        <f>'g1'!P155</f>
        <v>-8</v>
      </c>
      <c r="U108" s="61" t="s">
        <v>43</v>
      </c>
    </row>
    <row r="109" ht="22.5" customHeight="1" spans="1:21">
      <c r="A109" s="5" t="str">
        <f>'g1'!A181</f>
        <v>M.Wagner</v>
      </c>
      <c r="B109" s="24">
        <f>'g1'!B181</f>
        <v>2</v>
      </c>
      <c r="C109" s="25">
        <f>'g1'!C181</f>
        <v>1</v>
      </c>
      <c r="D109" s="25">
        <f>'g1'!D181</f>
        <v>0</v>
      </c>
      <c r="E109" s="25">
        <f>'g1'!E181</f>
        <v>0</v>
      </c>
      <c r="F109" s="25">
        <f>'g1'!F181</f>
        <v>0</v>
      </c>
      <c r="G109" s="25">
        <f>'g1'!G181</f>
        <v>1</v>
      </c>
      <c r="H109" s="25">
        <f>'g1'!H181</f>
        <v>2</v>
      </c>
      <c r="I109" s="26">
        <f t="shared" si="28"/>
        <v>50</v>
      </c>
      <c r="J109" s="25">
        <f>'g1'!I181</f>
        <v>0</v>
      </c>
      <c r="K109" s="25">
        <f>'g1'!J181</f>
        <v>0</v>
      </c>
      <c r="L109" s="64" t="str">
        <f t="shared" si="29"/>
        <v>---</v>
      </c>
      <c r="M109" s="25">
        <f>'g1'!K181</f>
        <v>0</v>
      </c>
      <c r="N109" s="25">
        <f>'g1'!L181</f>
        <v>0</v>
      </c>
      <c r="O109" s="64" t="str">
        <f t="shared" si="30"/>
        <v>---</v>
      </c>
      <c r="P109" s="25">
        <f>'g1'!M181</f>
        <v>0</v>
      </c>
      <c r="Q109" s="25">
        <f>'g1'!N181</f>
        <v>0</v>
      </c>
      <c r="R109" s="25">
        <f>'g1'!O181</f>
        <v>2</v>
      </c>
      <c r="S109" s="27">
        <f>'g1'!P181</f>
        <v>-8</v>
      </c>
      <c r="U109" s="61" t="s">
        <v>43</v>
      </c>
    </row>
    <row r="110" ht="22.5" customHeight="1" spans="1:21">
      <c r="A110" s="17" t="s">
        <v>63</v>
      </c>
      <c r="B110" s="18">
        <f t="shared" ref="B110:H110" si="31">AVERAGE(B103:B109)</f>
        <v>6.71428571428571</v>
      </c>
      <c r="C110" s="19">
        <f t="shared" si="31"/>
        <v>3.28571428571429</v>
      </c>
      <c r="D110" s="19">
        <f t="shared" si="31"/>
        <v>0.714285714285714</v>
      </c>
      <c r="E110" s="19">
        <f t="shared" si="31"/>
        <v>0.714285714285714</v>
      </c>
      <c r="F110" s="19">
        <f t="shared" si="31"/>
        <v>0</v>
      </c>
      <c r="G110" s="19">
        <f t="shared" si="31"/>
        <v>2.57142857142857</v>
      </c>
      <c r="H110" s="19">
        <f t="shared" si="31"/>
        <v>3.71428571428571</v>
      </c>
      <c r="I110" s="36">
        <f t="shared" si="28"/>
        <v>69.2307692307692</v>
      </c>
      <c r="J110" s="19">
        <f>AVERAGE(J103:J109)</f>
        <v>0.285714285714286</v>
      </c>
      <c r="K110" s="19">
        <f>AVERAGE(K103:K109)</f>
        <v>0.428571428571429</v>
      </c>
      <c r="L110" s="36">
        <f t="shared" si="29"/>
        <v>66.6666666666667</v>
      </c>
      <c r="M110" s="19">
        <f>AVERAGE(M103:M109)</f>
        <v>1.28571428571429</v>
      </c>
      <c r="N110" s="19">
        <f>AVERAGE(N103:N109)</f>
        <v>1.42857142857143</v>
      </c>
      <c r="O110" s="36">
        <f t="shared" si="30"/>
        <v>90</v>
      </c>
      <c r="P110" s="19">
        <f>AVERAGE(P103:P109)</f>
        <v>0.714285714285714</v>
      </c>
      <c r="Q110" s="19">
        <f>AVERAGE(Q103:Q109)</f>
        <v>0.714285714285714</v>
      </c>
      <c r="R110" s="19">
        <f>AVERAGE(R103:R109)</f>
        <v>0.285714285714286</v>
      </c>
      <c r="S110" s="20">
        <f>AVERAGE(S103:S109)</f>
        <v>-4.42857142857143</v>
      </c>
      <c r="U110" s="61" t="s">
        <v>43</v>
      </c>
    </row>
    <row r="111" spans="1:21">
      <c r="U111" s="61" t="s">
        <v>43</v>
      </c>
    </row>
    <row r="112" spans="1:21">
      <c r="U112" s="61" t="s">
        <v>43</v>
      </c>
    </row>
    <row r="113" spans="1:21">
      <c r="U113" s="61" t="s">
        <v>43</v>
      </c>
    </row>
    <row r="114" spans="1:21">
      <c r="U114" s="61" t="s">
        <v>43</v>
      </c>
    </row>
    <row r="115" spans="1:21">
      <c r="U115" s="61" t="s">
        <v>43</v>
      </c>
    </row>
    <row r="116" ht="28.5" customHeight="1" spans="1:21">
      <c r="A116" s="21" t="s">
        <v>35</v>
      </c>
      <c r="U116" s="61" t="s">
        <v>43</v>
      </c>
    </row>
    <row r="117" ht="22.5" customHeight="1" spans="1:21">
      <c r="A117" s="2" t="s">
        <v>44</v>
      </c>
      <c r="B117" s="22" t="s">
        <v>45</v>
      </c>
      <c r="C117" s="22" t="s">
        <v>46</v>
      </c>
      <c r="D117" s="22" t="s">
        <v>47</v>
      </c>
      <c r="E117" s="22" t="s">
        <v>48</v>
      </c>
      <c r="F117" s="22" t="s">
        <v>49</v>
      </c>
      <c r="G117" s="22" t="s">
        <v>50</v>
      </c>
      <c r="H117" s="22" t="s">
        <v>51</v>
      </c>
      <c r="I117" s="22" t="s">
        <v>52</v>
      </c>
      <c r="J117" s="22" t="s">
        <v>53</v>
      </c>
      <c r="K117" s="22" t="s">
        <v>54</v>
      </c>
      <c r="L117" s="22" t="s">
        <v>55</v>
      </c>
      <c r="M117" s="22" t="s">
        <v>56</v>
      </c>
      <c r="N117" s="22" t="s">
        <v>57</v>
      </c>
      <c r="O117" s="22" t="s">
        <v>58</v>
      </c>
      <c r="P117" s="22" t="s">
        <v>59</v>
      </c>
      <c r="Q117" s="22" t="s">
        <v>60</v>
      </c>
      <c r="R117" s="22" t="s">
        <v>61</v>
      </c>
      <c r="S117" s="23" t="s">
        <v>62</v>
      </c>
      <c r="U117" s="61" t="s">
        <v>43</v>
      </c>
    </row>
    <row r="118" ht="22.5" customHeight="1" spans="1:21">
      <c r="A118" s="5" t="str">
        <f>'g1'!A22</f>
        <v>E.Schmidt</v>
      </c>
      <c r="B118" s="24">
        <f>'g1'!B22</f>
        <v>2</v>
      </c>
      <c r="C118" s="25">
        <f>'g1'!C22</f>
        <v>1</v>
      </c>
      <c r="D118" s="25">
        <f>'g1'!D22</f>
        <v>3</v>
      </c>
      <c r="E118" s="25">
        <f>'g1'!E22</f>
        <v>0</v>
      </c>
      <c r="F118" s="25">
        <f>'g1'!F22</f>
        <v>0</v>
      </c>
      <c r="G118" s="25">
        <f>'g1'!G22</f>
        <v>1</v>
      </c>
      <c r="H118" s="25">
        <f>'g1'!H22</f>
        <v>2</v>
      </c>
      <c r="I118" s="26">
        <f t="shared" ref="I118:I125" si="32">IF(H118,G118/H118*100,U116)</f>
        <v>50</v>
      </c>
      <c r="J118" s="25">
        <f>'g1'!I22</f>
        <v>0</v>
      </c>
      <c r="K118" s="25">
        <f>'g1'!J22</f>
        <v>0</v>
      </c>
      <c r="L118" s="64" t="str">
        <f t="shared" ref="L118:L125" si="33">IF(K118,J118/K118*100,U116)</f>
        <v>---</v>
      </c>
      <c r="M118" s="25">
        <f>'g1'!K22</f>
        <v>0</v>
      </c>
      <c r="N118" s="25">
        <f>'g1'!L22</f>
        <v>0</v>
      </c>
      <c r="O118" s="64" t="str">
        <f t="shared" ref="O118:O125" si="34">IF(N118,M118/N118*100,U116)</f>
        <v>---</v>
      </c>
      <c r="P118" s="25">
        <f>'g1'!M22</f>
        <v>0</v>
      </c>
      <c r="Q118" s="25">
        <f>'g1'!N22</f>
        <v>0</v>
      </c>
      <c r="R118" s="25">
        <f>'g1'!O22</f>
        <v>3</v>
      </c>
      <c r="S118" s="27">
        <f>'g1'!P22</f>
        <v>8</v>
      </c>
      <c r="U118" s="61" t="s">
        <v>43</v>
      </c>
    </row>
    <row r="119" ht="22.5" customHeight="1" spans="1:21">
      <c r="A119" s="5" t="str">
        <f>'g1'!A49</f>
        <v>E.Schmidt</v>
      </c>
      <c r="B119" s="24">
        <f>'g1'!B49</f>
        <v>9</v>
      </c>
      <c r="C119" s="25">
        <f>'g1'!C49</f>
        <v>0</v>
      </c>
      <c r="D119" s="25">
        <f>'g1'!D49</f>
        <v>1</v>
      </c>
      <c r="E119" s="25">
        <f>'g1'!E49</f>
        <v>0</v>
      </c>
      <c r="F119" s="25">
        <f>'g1'!F49</f>
        <v>1</v>
      </c>
      <c r="G119" s="25">
        <f>'g1'!G49</f>
        <v>3</v>
      </c>
      <c r="H119" s="25">
        <f>'g1'!H49</f>
        <v>3</v>
      </c>
      <c r="I119" s="26">
        <f t="shared" si="32"/>
        <v>100</v>
      </c>
      <c r="J119" s="25">
        <f>'g1'!I49</f>
        <v>0</v>
      </c>
      <c r="K119" s="25">
        <f>'g1'!J49</f>
        <v>0</v>
      </c>
      <c r="L119" s="64" t="str">
        <f t="shared" si="33"/>
        <v>---</v>
      </c>
      <c r="M119" s="25">
        <f>'g1'!K49</f>
        <v>3</v>
      </c>
      <c r="N119" s="25">
        <f>'g1'!L49</f>
        <v>3</v>
      </c>
      <c r="O119" s="26">
        <f t="shared" si="34"/>
        <v>100</v>
      </c>
      <c r="P119" s="25">
        <f>'g1'!M49</f>
        <v>0</v>
      </c>
      <c r="Q119" s="25">
        <f>'g1'!N49</f>
        <v>1</v>
      </c>
      <c r="R119" s="25">
        <f>'g1'!O49</f>
        <v>0</v>
      </c>
      <c r="S119" s="27">
        <f>'g1'!P49</f>
        <v>1</v>
      </c>
      <c r="U119" s="61" t="s">
        <v>43</v>
      </c>
    </row>
    <row r="120" ht="22.5" customHeight="1" spans="1:21">
      <c r="A120" s="5" t="str">
        <f>'g1'!A76</f>
        <v>E.Schmidt</v>
      </c>
      <c r="B120" s="24">
        <f>'g1'!B76</f>
        <v>11</v>
      </c>
      <c r="C120" s="25">
        <f>'g1'!C76</f>
        <v>1</v>
      </c>
      <c r="D120" s="25">
        <f>'g1'!D76</f>
        <v>3</v>
      </c>
      <c r="E120" s="25">
        <f>'g1'!E76</f>
        <v>0</v>
      </c>
      <c r="F120" s="25">
        <f>'g1'!F76</f>
        <v>1</v>
      </c>
      <c r="G120" s="25">
        <f>'g1'!G76</f>
        <v>3</v>
      </c>
      <c r="H120" s="25">
        <f>'g1'!H76</f>
        <v>5</v>
      </c>
      <c r="I120" s="26">
        <f t="shared" si="32"/>
        <v>60</v>
      </c>
      <c r="J120" s="25">
        <f>'g1'!I76</f>
        <v>0</v>
      </c>
      <c r="K120" s="25">
        <f>'g1'!J76</f>
        <v>0</v>
      </c>
      <c r="L120" s="64" t="str">
        <f t="shared" si="33"/>
        <v>---</v>
      </c>
      <c r="M120" s="25">
        <f>'g1'!K76</f>
        <v>5</v>
      </c>
      <c r="N120" s="25">
        <f>'g1'!L76</f>
        <v>5</v>
      </c>
      <c r="O120" s="26">
        <f t="shared" si="34"/>
        <v>100</v>
      </c>
      <c r="P120" s="25">
        <f>'g1'!M76</f>
        <v>0</v>
      </c>
      <c r="Q120" s="25">
        <f>'g1'!N76</f>
        <v>2</v>
      </c>
      <c r="R120" s="25">
        <f>'g1'!O76</f>
        <v>1</v>
      </c>
      <c r="S120" s="27">
        <f>'g1'!P76</f>
        <v>-6</v>
      </c>
      <c r="U120" s="61" t="s">
        <v>43</v>
      </c>
    </row>
    <row r="121" ht="22.5" customHeight="1" spans="1:21">
      <c r="A121" s="5" t="str">
        <f>'g1'!A103</f>
        <v>E.Schmidt</v>
      </c>
      <c r="B121" s="24">
        <f>'g1'!B103</f>
        <v>2</v>
      </c>
      <c r="C121" s="25">
        <f>'g1'!C103</f>
        <v>0</v>
      </c>
      <c r="D121" s="25">
        <f>'g1'!D103</f>
        <v>6</v>
      </c>
      <c r="E121" s="25">
        <f>'g1'!E103</f>
        <v>0</v>
      </c>
      <c r="F121" s="25">
        <f>'g1'!F103</f>
        <v>0</v>
      </c>
      <c r="G121" s="25">
        <f>'g1'!G103</f>
        <v>1</v>
      </c>
      <c r="H121" s="25">
        <f>'g1'!H103</f>
        <v>1</v>
      </c>
      <c r="I121" s="26">
        <f t="shared" si="32"/>
        <v>100</v>
      </c>
      <c r="J121" s="25">
        <f>'g1'!I103</f>
        <v>0</v>
      </c>
      <c r="K121" s="25">
        <f>'g1'!J103</f>
        <v>0</v>
      </c>
      <c r="L121" s="64" t="str">
        <f t="shared" si="33"/>
        <v>---</v>
      </c>
      <c r="M121" s="25">
        <f>'g1'!K103</f>
        <v>0</v>
      </c>
      <c r="N121" s="25">
        <f>'g1'!L103</f>
        <v>0</v>
      </c>
      <c r="O121" s="64" t="str">
        <f t="shared" si="34"/>
        <v>---</v>
      </c>
      <c r="P121" s="25">
        <f>'g1'!M103</f>
        <v>0</v>
      </c>
      <c r="Q121" s="25">
        <f>'g1'!N103</f>
        <v>0</v>
      </c>
      <c r="R121" s="25">
        <f>'g1'!O103</f>
        <v>0</v>
      </c>
      <c r="S121" s="27">
        <f>'g1'!P103</f>
        <v>10</v>
      </c>
      <c r="U121" s="61" t="s">
        <v>43</v>
      </c>
    </row>
    <row r="122" ht="22.5" customHeight="1" spans="1:21">
      <c r="A122" s="5" t="str">
        <f>'g1'!A130</f>
        <v>E.Schmidt</v>
      </c>
      <c r="B122" s="24">
        <f>'g1'!B130</f>
        <v>11</v>
      </c>
      <c r="C122" s="25">
        <f>'g1'!C130</f>
        <v>1</v>
      </c>
      <c r="D122" s="25">
        <f>'g1'!D130</f>
        <v>4</v>
      </c>
      <c r="E122" s="25">
        <f>'g1'!E130</f>
        <v>1</v>
      </c>
      <c r="F122" s="25">
        <f>'g1'!F130</f>
        <v>0</v>
      </c>
      <c r="G122" s="25">
        <f>'g1'!G130</f>
        <v>2</v>
      </c>
      <c r="H122" s="25">
        <f>'g1'!H130</f>
        <v>4</v>
      </c>
      <c r="I122" s="26">
        <f t="shared" si="32"/>
        <v>50</v>
      </c>
      <c r="J122" s="25">
        <f>'g1'!I130</f>
        <v>1</v>
      </c>
      <c r="K122" s="25">
        <f>'g1'!J130</f>
        <v>1</v>
      </c>
      <c r="L122" s="26">
        <f t="shared" si="33"/>
        <v>100</v>
      </c>
      <c r="M122" s="25">
        <f>'g1'!K130</f>
        <v>6</v>
      </c>
      <c r="N122" s="25">
        <f>'g1'!L130</f>
        <v>6</v>
      </c>
      <c r="O122" s="26">
        <f t="shared" si="34"/>
        <v>100</v>
      </c>
      <c r="P122" s="25">
        <f>'g1'!M130</f>
        <v>1</v>
      </c>
      <c r="Q122" s="25">
        <f>'g1'!N130</f>
        <v>1</v>
      </c>
      <c r="R122" s="25">
        <f>'g1'!O130</f>
        <v>0</v>
      </c>
      <c r="S122" s="27">
        <f>'g1'!P130</f>
        <v>-8</v>
      </c>
      <c r="U122" s="61" t="s">
        <v>43</v>
      </c>
    </row>
    <row r="123" ht="22.5" customHeight="1" spans="1:21">
      <c r="A123" s="5" t="str">
        <f>'g1'!A156</f>
        <v>E.Schmidt</v>
      </c>
      <c r="B123" s="24">
        <f>'g1'!B156</f>
        <v>0</v>
      </c>
      <c r="C123" s="25">
        <f>'g1'!C156</f>
        <v>0</v>
      </c>
      <c r="D123" s="25">
        <f>'g1'!D156</f>
        <v>5</v>
      </c>
      <c r="E123" s="25">
        <f>'g1'!E156</f>
        <v>0</v>
      </c>
      <c r="F123" s="25">
        <f>'g1'!F156</f>
        <v>0</v>
      </c>
      <c r="G123" s="25">
        <f>'g1'!G156</f>
        <v>0</v>
      </c>
      <c r="H123" s="25">
        <f>'g1'!H156</f>
        <v>2</v>
      </c>
      <c r="I123" s="26">
        <f t="shared" si="32"/>
        <v>0</v>
      </c>
      <c r="J123" s="25">
        <f>'g1'!I156</f>
        <v>0</v>
      </c>
      <c r="K123" s="25">
        <f>'g1'!J156</f>
        <v>0</v>
      </c>
      <c r="L123" s="64" t="str">
        <f t="shared" si="33"/>
        <v>---</v>
      </c>
      <c r="M123" s="25">
        <f>'g1'!K156</f>
        <v>0</v>
      </c>
      <c r="N123" s="25">
        <f>'g1'!L156</f>
        <v>0</v>
      </c>
      <c r="O123" s="64" t="str">
        <f t="shared" si="34"/>
        <v>---</v>
      </c>
      <c r="P123" s="25">
        <f>'g1'!M156</f>
        <v>0</v>
      </c>
      <c r="Q123" s="25">
        <f>'g1'!N156</f>
        <v>0</v>
      </c>
      <c r="R123" s="25">
        <f>'g1'!O156</f>
        <v>0</v>
      </c>
      <c r="S123" s="27">
        <f>'g1'!P156</f>
        <v>1</v>
      </c>
      <c r="U123" s="61" t="s">
        <v>43</v>
      </c>
    </row>
    <row r="124" ht="22.5" customHeight="1" spans="1:21">
      <c r="A124" s="5" t="str">
        <f>'g1'!A182</f>
        <v>E.Schmidt</v>
      </c>
      <c r="B124" s="24">
        <f>'g1'!B182</f>
        <v>0</v>
      </c>
      <c r="C124" s="25">
        <f>'g1'!C182</f>
        <v>2</v>
      </c>
      <c r="D124" s="25">
        <f>'g1'!D182</f>
        <v>3</v>
      </c>
      <c r="E124" s="25">
        <f>'g1'!E182</f>
        <v>0</v>
      </c>
      <c r="F124" s="25">
        <f>'g1'!F182</f>
        <v>0</v>
      </c>
      <c r="G124" s="25">
        <f>'g1'!G182</f>
        <v>0</v>
      </c>
      <c r="H124" s="25">
        <f>'g1'!H182</f>
        <v>1</v>
      </c>
      <c r="I124" s="26">
        <f t="shared" si="32"/>
        <v>0</v>
      </c>
      <c r="J124" s="25">
        <f>'g1'!I182</f>
        <v>0</v>
      </c>
      <c r="K124" s="25">
        <f>'g1'!J182</f>
        <v>1</v>
      </c>
      <c r="L124" s="26">
        <f t="shared" si="33"/>
        <v>0</v>
      </c>
      <c r="M124" s="25">
        <f>'g1'!K182</f>
        <v>0</v>
      </c>
      <c r="N124" s="25">
        <f>'g1'!L182</f>
        <v>2</v>
      </c>
      <c r="O124" s="26">
        <f t="shared" si="34"/>
        <v>0</v>
      </c>
      <c r="P124" s="25">
        <f>'g1'!M182</f>
        <v>0</v>
      </c>
      <c r="Q124" s="25">
        <f>'g1'!N182</f>
        <v>0</v>
      </c>
      <c r="R124" s="25">
        <f>'g1'!O182</f>
        <v>0</v>
      </c>
      <c r="S124" s="27">
        <f>'g1'!P182</f>
        <v>-3</v>
      </c>
      <c r="U124" s="61" t="s">
        <v>43</v>
      </c>
    </row>
    <row r="125" ht="22.5" customHeight="1" spans="1:21">
      <c r="A125" s="17" t="s">
        <v>63</v>
      </c>
      <c r="B125" s="18">
        <f t="shared" ref="B125:H125" si="35">AVERAGE(B118:B124)</f>
        <v>5</v>
      </c>
      <c r="C125" s="19">
        <f t="shared" si="35"/>
        <v>0.714285714285714</v>
      </c>
      <c r="D125" s="19">
        <f t="shared" si="35"/>
        <v>3.57142857142857</v>
      </c>
      <c r="E125" s="19">
        <f t="shared" si="35"/>
        <v>0.142857142857143</v>
      </c>
      <c r="F125" s="19">
        <f t="shared" si="35"/>
        <v>0.285714285714286</v>
      </c>
      <c r="G125" s="19">
        <f t="shared" si="35"/>
        <v>1.42857142857143</v>
      </c>
      <c r="H125" s="19">
        <f t="shared" si="35"/>
        <v>2.57142857142857</v>
      </c>
      <c r="I125" s="36">
        <f t="shared" si="32"/>
        <v>55.5555555555556</v>
      </c>
      <c r="J125" s="19">
        <f>AVERAGE(J118:J124)</f>
        <v>0.142857142857143</v>
      </c>
      <c r="K125" s="19">
        <f>AVERAGE(K118:K124)</f>
        <v>0.285714285714286</v>
      </c>
      <c r="L125" s="36">
        <f t="shared" si="33"/>
        <v>50</v>
      </c>
      <c r="M125" s="19">
        <f>AVERAGE(M118:M124)</f>
        <v>2</v>
      </c>
      <c r="N125" s="19">
        <f>AVERAGE(N118:N124)</f>
        <v>2.28571428571429</v>
      </c>
      <c r="O125" s="36">
        <f t="shared" si="34"/>
        <v>87.5</v>
      </c>
      <c r="P125" s="19">
        <f>AVERAGE(P118:P124)</f>
        <v>0.142857142857143</v>
      </c>
      <c r="Q125" s="19">
        <f>AVERAGE(Q118:Q124)</f>
        <v>0.571428571428571</v>
      </c>
      <c r="R125" s="19">
        <f>AVERAGE(R118:R124)</f>
        <v>0.571428571428571</v>
      </c>
      <c r="S125" s="20">
        <f>AVERAGE(S118:S124)</f>
        <v>0.428571428571429</v>
      </c>
      <c r="U125" s="61" t="s">
        <v>43</v>
      </c>
    </row>
    <row r="126" spans="1:21">
      <c r="U126" s="61" t="s">
        <v>43</v>
      </c>
    </row>
    <row r="127" spans="1:21">
      <c r="U127" s="61" t="s">
        <v>43</v>
      </c>
    </row>
    <row r="128" spans="1:21">
      <c r="U128" s="61" t="s">
        <v>43</v>
      </c>
    </row>
    <row r="129" spans="1:21">
      <c r="U129" s="61" t="s">
        <v>43</v>
      </c>
    </row>
    <row r="130" spans="1:21">
      <c r="U130" s="61" t="s">
        <v>43</v>
      </c>
    </row>
    <row r="131" ht="28.5" customHeight="1" spans="1:21">
      <c r="A131" s="21" t="s">
        <v>17</v>
      </c>
      <c r="U131" s="61" t="s">
        <v>43</v>
      </c>
    </row>
    <row r="132" ht="22.5" customHeight="1" spans="1:21">
      <c r="A132" s="2" t="s">
        <v>44</v>
      </c>
      <c r="B132" s="22" t="s">
        <v>45</v>
      </c>
      <c r="C132" s="22" t="s">
        <v>46</v>
      </c>
      <c r="D132" s="22" t="s">
        <v>47</v>
      </c>
      <c r="E132" s="22" t="s">
        <v>48</v>
      </c>
      <c r="F132" s="22" t="s">
        <v>49</v>
      </c>
      <c r="G132" s="22" t="s">
        <v>50</v>
      </c>
      <c r="H132" s="22" t="s">
        <v>51</v>
      </c>
      <c r="I132" s="22" t="s">
        <v>52</v>
      </c>
      <c r="J132" s="22" t="s">
        <v>53</v>
      </c>
      <c r="K132" s="22" t="s">
        <v>54</v>
      </c>
      <c r="L132" s="22" t="s">
        <v>55</v>
      </c>
      <c r="M132" s="22" t="s">
        <v>56</v>
      </c>
      <c r="N132" s="22" t="s">
        <v>57</v>
      </c>
      <c r="O132" s="22" t="s">
        <v>58</v>
      </c>
      <c r="P132" s="22" t="s">
        <v>59</v>
      </c>
      <c r="Q132" s="22" t="s">
        <v>60</v>
      </c>
      <c r="R132" s="22" t="s">
        <v>61</v>
      </c>
      <c r="S132" s="23" t="s">
        <v>62</v>
      </c>
      <c r="U132" s="61" t="s">
        <v>43</v>
      </c>
    </row>
    <row r="133" ht="22.5" customHeight="1" spans="1:21">
      <c r="A133" s="5" t="str">
        <f>'g1'!A4</f>
        <v>Lonzo Ball</v>
      </c>
      <c r="B133" s="24">
        <f>'g1'!B4</f>
        <v>9</v>
      </c>
      <c r="C133" s="25">
        <f>'g1'!C4</f>
        <v>1</v>
      </c>
      <c r="D133" s="25">
        <f>'g1'!D4</f>
        <v>2</v>
      </c>
      <c r="E133" s="25">
        <f>'g1'!E4</f>
        <v>1</v>
      </c>
      <c r="F133" s="25">
        <f>'g1'!F4</f>
        <v>1</v>
      </c>
      <c r="G133" s="25">
        <f>'g1'!G4</f>
        <v>3</v>
      </c>
      <c r="H133" s="25">
        <f>'g1'!H4</f>
        <v>10</v>
      </c>
      <c r="I133" s="26">
        <f t="shared" ref="I133:I140" si="36">IF(H133,G133/H133*100,U131)</f>
        <v>30</v>
      </c>
      <c r="J133" s="25">
        <f>'g1'!I4</f>
        <v>3</v>
      </c>
      <c r="K133" s="25">
        <f>'g1'!J4</f>
        <v>6</v>
      </c>
      <c r="L133" s="26">
        <f t="shared" ref="L133:L140" si="37">IF(K133,J133/K133*100,U131)</f>
        <v>50</v>
      </c>
      <c r="M133" s="25">
        <f>'g1'!K4</f>
        <v>0</v>
      </c>
      <c r="N133" s="25">
        <f>'g1'!L4</f>
        <v>0</v>
      </c>
      <c r="O133" s="64" t="str">
        <f t="shared" ref="O133:O140" si="38">IF(N133,M133/N133*100,U131)</f>
        <v>---</v>
      </c>
      <c r="P133" s="25">
        <f>'g1'!M4</f>
        <v>0</v>
      </c>
      <c r="Q133" s="25">
        <f>'g1'!N4</f>
        <v>6</v>
      </c>
      <c r="R133" s="25">
        <f>'g1'!O4</f>
        <v>1</v>
      </c>
      <c r="S133" s="27">
        <f>'g1'!P4</f>
        <v>5</v>
      </c>
      <c r="U133" s="61" t="s">
        <v>43</v>
      </c>
    </row>
    <row r="134" ht="22.5" customHeight="1" spans="1:21">
      <c r="A134" s="5" t="str">
        <f>'g1'!A31</f>
        <v>Lonzo Ball</v>
      </c>
      <c r="B134" s="24">
        <f>'g1'!B31</f>
        <v>24</v>
      </c>
      <c r="C134" s="25">
        <f>'g1'!C31</f>
        <v>6</v>
      </c>
      <c r="D134" s="25">
        <f>'g1'!D31</f>
        <v>3</v>
      </c>
      <c r="E134" s="25">
        <f>'g1'!E31</f>
        <v>4</v>
      </c>
      <c r="F134" s="25">
        <f>'g1'!F31</f>
        <v>0</v>
      </c>
      <c r="G134" s="25">
        <f>'g1'!G31</f>
        <v>11</v>
      </c>
      <c r="H134" s="25">
        <f>'g1'!H31</f>
        <v>16</v>
      </c>
      <c r="I134" s="26">
        <f t="shared" si="36"/>
        <v>68.75</v>
      </c>
      <c r="J134" s="25">
        <f>'g1'!I31</f>
        <v>2</v>
      </c>
      <c r="K134" s="25">
        <f>'g1'!J31</f>
        <v>6</v>
      </c>
      <c r="L134" s="26">
        <f t="shared" si="37"/>
        <v>33.3333333333333</v>
      </c>
      <c r="M134" s="25">
        <f>'g1'!K31</f>
        <v>0</v>
      </c>
      <c r="N134" s="25">
        <f>'g1'!L31</f>
        <v>2</v>
      </c>
      <c r="O134" s="26">
        <f t="shared" si="38"/>
        <v>0</v>
      </c>
      <c r="P134" s="25">
        <f>'g1'!M31</f>
        <v>0</v>
      </c>
      <c r="Q134" s="25">
        <f>'g1'!N31</f>
        <v>6</v>
      </c>
      <c r="R134" s="25">
        <f>'g1'!O31</f>
        <v>1</v>
      </c>
      <c r="S134" s="27">
        <f>'g1'!P31</f>
        <v>16</v>
      </c>
      <c r="U134" s="61" t="s">
        <v>43</v>
      </c>
    </row>
    <row r="135" ht="22.5" customHeight="1" spans="1:21">
      <c r="A135" s="5" t="str">
        <f>'g1'!A58</f>
        <v>Lonzo Ball</v>
      </c>
      <c r="B135" s="24">
        <f>'g1'!B58</f>
        <v>22</v>
      </c>
      <c r="C135" s="25">
        <f>'g1'!C58</f>
        <v>10</v>
      </c>
      <c r="D135" s="25">
        <f>'g1'!D58</f>
        <v>15</v>
      </c>
      <c r="E135" s="25">
        <f>'g1'!E58</f>
        <v>5</v>
      </c>
      <c r="F135" s="25">
        <f>'g1'!F58</f>
        <v>3</v>
      </c>
      <c r="G135" s="25">
        <f>'g1'!G58</f>
        <v>8</v>
      </c>
      <c r="H135" s="25">
        <f>'g1'!H58</f>
        <v>25</v>
      </c>
      <c r="I135" s="26">
        <f t="shared" si="36"/>
        <v>32</v>
      </c>
      <c r="J135" s="25">
        <f>'g1'!I58</f>
        <v>1</v>
      </c>
      <c r="K135" s="25">
        <f>'g1'!J58</f>
        <v>7</v>
      </c>
      <c r="L135" s="26">
        <f t="shared" si="37"/>
        <v>14.2857142857143</v>
      </c>
      <c r="M135" s="25">
        <f>'g1'!K58</f>
        <v>5</v>
      </c>
      <c r="N135" s="25">
        <f>'g1'!L58</f>
        <v>10</v>
      </c>
      <c r="O135" s="26">
        <f t="shared" si="38"/>
        <v>50</v>
      </c>
      <c r="P135" s="25">
        <f>'g1'!M58</f>
        <v>1</v>
      </c>
      <c r="Q135" s="25">
        <f>'g1'!N58</f>
        <v>6</v>
      </c>
      <c r="R135" s="25">
        <f>'g1'!O58</f>
        <v>6</v>
      </c>
      <c r="S135" s="27">
        <f>'g1'!P58</f>
        <v>1</v>
      </c>
      <c r="U135" s="61" t="s">
        <v>43</v>
      </c>
    </row>
    <row r="136" ht="22.5" customHeight="1" spans="1:21">
      <c r="A136" s="5" t="str">
        <f>'g1'!A85</f>
        <v>Lonzo Ball</v>
      </c>
      <c r="B136" s="24">
        <f>'g1'!B85</f>
        <v>32</v>
      </c>
      <c r="C136" s="25">
        <f>'g1'!C85</f>
        <v>2</v>
      </c>
      <c r="D136" s="25">
        <f>'g1'!D85</f>
        <v>12</v>
      </c>
      <c r="E136" s="25">
        <f>'g1'!E85</f>
        <v>4</v>
      </c>
      <c r="F136" s="25">
        <f>'g1'!F85</f>
        <v>3</v>
      </c>
      <c r="G136" s="25">
        <f>'g1'!G85</f>
        <v>13</v>
      </c>
      <c r="H136" s="25">
        <f>'g1'!H85</f>
        <v>26</v>
      </c>
      <c r="I136" s="26">
        <f t="shared" si="36"/>
        <v>50</v>
      </c>
      <c r="J136" s="25">
        <f>'g1'!I85</f>
        <v>3</v>
      </c>
      <c r="K136" s="25">
        <f>'g1'!J85</f>
        <v>6</v>
      </c>
      <c r="L136" s="26">
        <f t="shared" si="37"/>
        <v>50</v>
      </c>
      <c r="M136" s="25">
        <f>'g1'!K85</f>
        <v>3</v>
      </c>
      <c r="N136" s="25">
        <f>'g1'!L85</f>
        <v>6</v>
      </c>
      <c r="O136" s="26">
        <f t="shared" si="38"/>
        <v>50</v>
      </c>
      <c r="P136" s="25">
        <f>'g1'!M85</f>
        <v>1</v>
      </c>
      <c r="Q136" s="25">
        <f>'g1'!N85</f>
        <v>5</v>
      </c>
      <c r="R136" s="25">
        <f>'g1'!O85</f>
        <v>4</v>
      </c>
      <c r="S136" s="27">
        <f>'g1'!P85</f>
        <v>12</v>
      </c>
      <c r="U136" s="61" t="s">
        <v>43</v>
      </c>
    </row>
    <row r="137" ht="22.5" customHeight="1" spans="1:21">
      <c r="A137" s="5" t="str">
        <f>'g1'!A112</f>
        <v>Lonzo Ball</v>
      </c>
      <c r="B137" s="24">
        <f>'g1'!B112</f>
        <v>21</v>
      </c>
      <c r="C137" s="25">
        <f>'g1'!C112</f>
        <v>4</v>
      </c>
      <c r="D137" s="25">
        <f>'g1'!D112</f>
        <v>9</v>
      </c>
      <c r="E137" s="25">
        <f>'g1'!E112</f>
        <v>2</v>
      </c>
      <c r="F137" s="25">
        <f>'g1'!F112</f>
        <v>0</v>
      </c>
      <c r="G137" s="25">
        <f>'g1'!G112</f>
        <v>8</v>
      </c>
      <c r="H137" s="25">
        <f>'g1'!H112</f>
        <v>12</v>
      </c>
      <c r="I137" s="26">
        <f t="shared" si="36"/>
        <v>66.6666666666667</v>
      </c>
      <c r="J137" s="25">
        <f>'g1'!I112</f>
        <v>2</v>
      </c>
      <c r="K137" s="25">
        <f>'g1'!J112</f>
        <v>4</v>
      </c>
      <c r="L137" s="26">
        <f t="shared" si="37"/>
        <v>50</v>
      </c>
      <c r="M137" s="25">
        <f>'g1'!K112</f>
        <v>3</v>
      </c>
      <c r="N137" s="25">
        <f>'g1'!L112</f>
        <v>5</v>
      </c>
      <c r="O137" s="26">
        <f t="shared" si="38"/>
        <v>60</v>
      </c>
      <c r="P137" s="25">
        <f>'g1'!M112</f>
        <v>1</v>
      </c>
      <c r="Q137" s="25">
        <f>'g1'!N112</f>
        <v>6</v>
      </c>
      <c r="R137" s="25">
        <f>'g1'!O112</f>
        <v>0</v>
      </c>
      <c r="S137" s="27">
        <f>'g1'!P112</f>
        <v>16</v>
      </c>
      <c r="U137" s="61" t="s">
        <v>43</v>
      </c>
    </row>
    <row r="138" ht="22.5" customHeight="1" spans="1:21">
      <c r="A138" s="5" t="str">
        <f>'g1'!A138</f>
        <v>Lonzo Ball</v>
      </c>
      <c r="B138" s="24">
        <f>'g1'!B138</f>
        <v>42</v>
      </c>
      <c r="C138" s="25">
        <f>'g1'!C138</f>
        <v>7</v>
      </c>
      <c r="D138" s="25">
        <f>'g1'!D138</f>
        <v>10</v>
      </c>
      <c r="E138" s="25">
        <f>'g1'!E138</f>
        <v>2</v>
      </c>
      <c r="F138" s="25">
        <f>'g1'!F138</f>
        <v>4</v>
      </c>
      <c r="G138" s="25">
        <f>'g1'!G138</f>
        <v>18</v>
      </c>
      <c r="H138" s="25">
        <f>'g1'!H138</f>
        <v>37</v>
      </c>
      <c r="I138" s="26">
        <f t="shared" si="36"/>
        <v>48.6486486486487</v>
      </c>
      <c r="J138" s="25">
        <f>'g1'!I138</f>
        <v>4</v>
      </c>
      <c r="K138" s="25">
        <f>'g1'!J138</f>
        <v>12</v>
      </c>
      <c r="L138" s="26">
        <f t="shared" si="37"/>
        <v>33.3333333333333</v>
      </c>
      <c r="M138" s="25">
        <f>'g1'!K138</f>
        <v>2</v>
      </c>
      <c r="N138" s="25">
        <f>'g1'!L138</f>
        <v>4</v>
      </c>
      <c r="O138" s="26">
        <f t="shared" si="38"/>
        <v>50</v>
      </c>
      <c r="P138" s="25">
        <f>'g1'!M138</f>
        <v>1</v>
      </c>
      <c r="Q138" s="25">
        <f>'g1'!N138</f>
        <v>6</v>
      </c>
      <c r="R138" s="25">
        <f>'g1'!O138</f>
        <v>3</v>
      </c>
      <c r="S138" s="27">
        <f>'g1'!P138</f>
        <v>-5</v>
      </c>
      <c r="U138" s="61" t="s">
        <v>43</v>
      </c>
    </row>
    <row r="139" ht="22.5" customHeight="1" spans="1:21">
      <c r="A139" s="5" t="str">
        <f>'g1'!A164</f>
        <v>Lonzo Ball</v>
      </c>
      <c r="B139" s="24">
        <f>'g1'!B164</f>
        <v>30</v>
      </c>
      <c r="C139" s="25">
        <f>'g1'!C164</f>
        <v>4</v>
      </c>
      <c r="D139" s="25">
        <f>'g1'!D164</f>
        <v>17</v>
      </c>
      <c r="E139" s="25">
        <f>'g1'!E164</f>
        <v>1</v>
      </c>
      <c r="F139" s="25">
        <f>'g1'!F164</f>
        <v>0</v>
      </c>
      <c r="G139" s="25">
        <f>'g1'!G164</f>
        <v>14</v>
      </c>
      <c r="H139" s="25">
        <f>'g1'!H164</f>
        <v>26</v>
      </c>
      <c r="I139" s="26">
        <f t="shared" si="36"/>
        <v>53.8461538461538</v>
      </c>
      <c r="J139" s="25">
        <f>'g1'!I164</f>
        <v>0</v>
      </c>
      <c r="K139" s="25">
        <f>'g1'!J164</f>
        <v>7</v>
      </c>
      <c r="L139" s="26">
        <f t="shared" si="37"/>
        <v>0</v>
      </c>
      <c r="M139" s="25">
        <f>'g1'!K164</f>
        <v>2</v>
      </c>
      <c r="N139" s="25">
        <f>'g1'!L164</f>
        <v>4</v>
      </c>
      <c r="O139" s="26">
        <f t="shared" si="38"/>
        <v>50</v>
      </c>
      <c r="P139" s="25">
        <f>'g1'!M164</f>
        <v>0</v>
      </c>
      <c r="Q139" s="25">
        <f>'g1'!N164</f>
        <v>5</v>
      </c>
      <c r="R139" s="25">
        <f>'g1'!O164</f>
        <v>3</v>
      </c>
      <c r="S139" s="27">
        <f>'g1'!P164</f>
        <v>-11</v>
      </c>
      <c r="U139" s="61" t="s">
        <v>43</v>
      </c>
    </row>
    <row r="140" ht="22.5" customHeight="1" spans="1:21">
      <c r="A140" s="17" t="s">
        <v>63</v>
      </c>
      <c r="B140" s="18">
        <f t="shared" ref="B140:H140" si="39">AVERAGE(B133:B139)</f>
        <v>25.7142857142857</v>
      </c>
      <c r="C140" s="19">
        <f t="shared" si="39"/>
        <v>4.85714285714286</v>
      </c>
      <c r="D140" s="19">
        <f t="shared" si="39"/>
        <v>9.71428571428571</v>
      </c>
      <c r="E140" s="19">
        <f t="shared" si="39"/>
        <v>2.71428571428571</v>
      </c>
      <c r="F140" s="19">
        <f t="shared" si="39"/>
        <v>1.57142857142857</v>
      </c>
      <c r="G140" s="19">
        <f t="shared" si="39"/>
        <v>10.7142857142857</v>
      </c>
      <c r="H140" s="19">
        <f t="shared" si="39"/>
        <v>21.7142857142857</v>
      </c>
      <c r="I140" s="36">
        <f t="shared" si="36"/>
        <v>49.3421052631579</v>
      </c>
      <c r="J140" s="19">
        <f>AVERAGE(J133:J139)</f>
        <v>2.14285714285714</v>
      </c>
      <c r="K140" s="19">
        <f>AVERAGE(K133:K139)</f>
        <v>6.85714285714286</v>
      </c>
      <c r="L140" s="36">
        <f t="shared" si="37"/>
        <v>31.25</v>
      </c>
      <c r="M140" s="19">
        <f>AVERAGE(M133:M139)</f>
        <v>2.14285714285714</v>
      </c>
      <c r="N140" s="19">
        <f>AVERAGE(N133:N139)</f>
        <v>4.42857142857143</v>
      </c>
      <c r="O140" s="36">
        <f t="shared" si="38"/>
        <v>48.3870967741935</v>
      </c>
      <c r="P140" s="19">
        <f>AVERAGE(P133:P139)</f>
        <v>0.571428571428571</v>
      </c>
      <c r="Q140" s="19">
        <f>AVERAGE(Q133:Q139)</f>
        <v>5.71428571428571</v>
      </c>
      <c r="R140" s="19">
        <f>AVERAGE(R133:R139)</f>
        <v>2.57142857142857</v>
      </c>
      <c r="S140" s="20">
        <f>AVERAGE(S133:S139)</f>
        <v>4.85714285714286</v>
      </c>
      <c r="U140" s="61" t="s">
        <v>43</v>
      </c>
    </row>
    <row r="141" spans="1:21">
      <c r="U141" s="61" t="s">
        <v>43</v>
      </c>
    </row>
    <row r="142" spans="1:21">
      <c r="U142" s="61" t="s">
        <v>43</v>
      </c>
    </row>
    <row r="143" spans="1:21">
      <c r="U143" s="61" t="s">
        <v>43</v>
      </c>
    </row>
    <row r="144" spans="1:21">
      <c r="U144" s="61" t="s">
        <v>43</v>
      </c>
    </row>
    <row r="145" spans="1:21">
      <c r="U145" s="61" t="s">
        <v>43</v>
      </c>
    </row>
    <row r="146" ht="28.5" customHeight="1" spans="1:21">
      <c r="A146" s="21" t="s">
        <v>18</v>
      </c>
      <c r="U146" s="61" t="s">
        <v>43</v>
      </c>
    </row>
    <row r="147" ht="22.5" customHeight="1" spans="1:21">
      <c r="A147" s="2" t="s">
        <v>44</v>
      </c>
      <c r="B147" s="22" t="s">
        <v>45</v>
      </c>
      <c r="C147" s="22" t="s">
        <v>46</v>
      </c>
      <c r="D147" s="22" t="s">
        <v>47</v>
      </c>
      <c r="E147" s="22" t="s">
        <v>48</v>
      </c>
      <c r="F147" s="22" t="s">
        <v>49</v>
      </c>
      <c r="G147" s="22" t="s">
        <v>50</v>
      </c>
      <c r="H147" s="22" t="s">
        <v>51</v>
      </c>
      <c r="I147" s="22" t="s">
        <v>52</v>
      </c>
      <c r="J147" s="22" t="s">
        <v>53</v>
      </c>
      <c r="K147" s="22" t="s">
        <v>54</v>
      </c>
      <c r="L147" s="22" t="s">
        <v>55</v>
      </c>
      <c r="M147" s="22" t="s">
        <v>56</v>
      </c>
      <c r="N147" s="22" t="s">
        <v>57</v>
      </c>
      <c r="O147" s="22" t="s">
        <v>58</v>
      </c>
      <c r="P147" s="22" t="s">
        <v>59</v>
      </c>
      <c r="Q147" s="22" t="s">
        <v>60</v>
      </c>
      <c r="R147" s="22" t="s">
        <v>61</v>
      </c>
      <c r="S147" s="23" t="s">
        <v>62</v>
      </c>
      <c r="U147" s="61" t="s">
        <v>43</v>
      </c>
    </row>
    <row r="148" ht="22.5" customHeight="1" spans="1:21">
      <c r="A148" s="5" t="str">
        <f>'g1'!A5</f>
        <v>N.A.Walker</v>
      </c>
      <c r="B148" s="24">
        <f>'g1'!B5</f>
        <v>40</v>
      </c>
      <c r="C148" s="25">
        <f>'g1'!C5</f>
        <v>9</v>
      </c>
      <c r="D148" s="25">
        <f>'g1'!D5</f>
        <v>8</v>
      </c>
      <c r="E148" s="25">
        <f>'g1'!E5</f>
        <v>0</v>
      </c>
      <c r="F148" s="25">
        <f>'g1'!F5</f>
        <v>2</v>
      </c>
      <c r="G148" s="25">
        <f>'g1'!G5</f>
        <v>13</v>
      </c>
      <c r="H148" s="25">
        <f>'g1'!H5</f>
        <v>24</v>
      </c>
      <c r="I148" s="26">
        <f t="shared" ref="I148:I155" si="40">IF(H148,G148/H148*100,U146)</f>
        <v>54.1666666666667</v>
      </c>
      <c r="J148" s="25">
        <f>'g1'!I5</f>
        <v>6</v>
      </c>
      <c r="K148" s="25">
        <f>'g1'!J5</f>
        <v>14</v>
      </c>
      <c r="L148" s="26">
        <f t="shared" ref="L148:L155" si="41">IF(K148,J148/K148*100,U146)</f>
        <v>42.8571428571429</v>
      </c>
      <c r="M148" s="25">
        <f>'g1'!K5</f>
        <v>8</v>
      </c>
      <c r="N148" s="25">
        <f>'g1'!L5</f>
        <v>9</v>
      </c>
      <c r="O148" s="26">
        <f t="shared" ref="O148:O155" si="42">IF(N148,M148/N148*100,U146)</f>
        <v>88.8888888888889</v>
      </c>
      <c r="P148" s="25">
        <f>'g1'!M5</f>
        <v>2</v>
      </c>
      <c r="Q148" s="25">
        <f>'g1'!N5</f>
        <v>2</v>
      </c>
      <c r="R148" s="25">
        <f>'g1'!O5</f>
        <v>2</v>
      </c>
      <c r="S148" s="27">
        <f>'g1'!P5</f>
        <v>-4</v>
      </c>
      <c r="U148" s="61" t="s">
        <v>43</v>
      </c>
    </row>
    <row r="149" ht="22.5" customHeight="1" spans="1:21">
      <c r="A149" s="5" t="str">
        <f>'g1'!A32</f>
        <v>N.A.Walker</v>
      </c>
      <c r="B149" s="24">
        <f>'g1'!B32</f>
        <v>27</v>
      </c>
      <c r="C149" s="25">
        <f>'g1'!C32</f>
        <v>5</v>
      </c>
      <c r="D149" s="25">
        <f>'g1'!D32</f>
        <v>7</v>
      </c>
      <c r="E149" s="25">
        <f>'g1'!E32</f>
        <v>2</v>
      </c>
      <c r="F149" s="25">
        <f>'g1'!F32</f>
        <v>0</v>
      </c>
      <c r="G149" s="25">
        <f>'g1'!G32</f>
        <v>11</v>
      </c>
      <c r="H149" s="25">
        <f>'g1'!H32</f>
        <v>20</v>
      </c>
      <c r="I149" s="26">
        <f t="shared" si="40"/>
        <v>55</v>
      </c>
      <c r="J149" s="25">
        <f>'g1'!I32</f>
        <v>3</v>
      </c>
      <c r="K149" s="25">
        <f>'g1'!J32</f>
        <v>6</v>
      </c>
      <c r="L149" s="26">
        <f t="shared" si="41"/>
        <v>50</v>
      </c>
      <c r="M149" s="25">
        <f>'g1'!K32</f>
        <v>2</v>
      </c>
      <c r="N149" s="25">
        <f>'g1'!L32</f>
        <v>2</v>
      </c>
      <c r="O149" s="26">
        <f t="shared" si="42"/>
        <v>100</v>
      </c>
      <c r="P149" s="25">
        <f>'g1'!M32</f>
        <v>1</v>
      </c>
      <c r="Q149" s="25">
        <f>'g1'!N32</f>
        <v>6</v>
      </c>
      <c r="R149" s="25">
        <f>'g1'!O32</f>
        <v>0</v>
      </c>
      <c r="S149" s="27">
        <f>'g1'!P32</f>
        <v>-3</v>
      </c>
      <c r="U149" s="61" t="s">
        <v>43</v>
      </c>
    </row>
    <row r="150" ht="22.5" customHeight="1" spans="1:21">
      <c r="A150" s="5" t="str">
        <f>'g1'!A59</f>
        <v>N.A.Walker</v>
      </c>
      <c r="B150" s="24">
        <f>'g1'!B59</f>
        <v>34</v>
      </c>
      <c r="C150" s="25">
        <f>'g1'!C59</f>
        <v>4</v>
      </c>
      <c r="D150" s="25">
        <f>'g1'!D59</f>
        <v>6</v>
      </c>
      <c r="E150" s="25">
        <f>'g1'!E59</f>
        <v>5</v>
      </c>
      <c r="F150" s="25">
        <f>'g1'!F59</f>
        <v>1</v>
      </c>
      <c r="G150" s="25">
        <f>'g1'!G59</f>
        <v>14</v>
      </c>
      <c r="H150" s="25">
        <f>'g1'!H59</f>
        <v>21</v>
      </c>
      <c r="I150" s="26">
        <f t="shared" si="40"/>
        <v>66.6666666666667</v>
      </c>
      <c r="J150" s="25">
        <f>'g1'!I59</f>
        <v>5</v>
      </c>
      <c r="K150" s="25">
        <f>'g1'!J59</f>
        <v>9</v>
      </c>
      <c r="L150" s="26">
        <f t="shared" si="41"/>
        <v>55.5555555555556</v>
      </c>
      <c r="M150" s="25">
        <f>'g1'!K59</f>
        <v>1</v>
      </c>
      <c r="N150" s="25">
        <f>'g1'!L59</f>
        <v>2</v>
      </c>
      <c r="O150" s="26">
        <f t="shared" si="42"/>
        <v>50</v>
      </c>
      <c r="P150" s="25">
        <f>'g1'!M59</f>
        <v>1</v>
      </c>
      <c r="Q150" s="25">
        <f>'g1'!N59</f>
        <v>6</v>
      </c>
      <c r="R150" s="25">
        <f>'g1'!O59</f>
        <v>0</v>
      </c>
      <c r="S150" s="27">
        <f>'g1'!P59</f>
        <v>3</v>
      </c>
      <c r="U150" s="61" t="s">
        <v>43</v>
      </c>
    </row>
    <row r="151" ht="22.5" customHeight="1" spans="1:21">
      <c r="A151" s="5" t="str">
        <f>'g1'!A86</f>
        <v>N.A.Walker</v>
      </c>
      <c r="B151" s="24">
        <f>'g1'!B86</f>
        <v>40</v>
      </c>
      <c r="C151" s="25">
        <f>'g1'!C86</f>
        <v>7</v>
      </c>
      <c r="D151" s="25">
        <f>'g1'!D86</f>
        <v>4</v>
      </c>
      <c r="E151" s="25">
        <f>'g1'!E86</f>
        <v>1</v>
      </c>
      <c r="F151" s="25">
        <f>'g1'!F86</f>
        <v>4</v>
      </c>
      <c r="G151" s="25">
        <f>'g1'!G86</f>
        <v>16</v>
      </c>
      <c r="H151" s="25">
        <f>'g1'!H86</f>
        <v>25</v>
      </c>
      <c r="I151" s="26">
        <f t="shared" si="40"/>
        <v>64</v>
      </c>
      <c r="J151" s="25">
        <f>'g1'!I86</f>
        <v>3</v>
      </c>
      <c r="K151" s="25">
        <f>'g1'!J86</f>
        <v>9</v>
      </c>
      <c r="L151" s="26">
        <f t="shared" si="41"/>
        <v>33.3333333333333</v>
      </c>
      <c r="M151" s="25">
        <f>'g1'!K86</f>
        <v>5</v>
      </c>
      <c r="N151" s="25">
        <f>'g1'!L86</f>
        <v>5</v>
      </c>
      <c r="O151" s="26">
        <f t="shared" si="42"/>
        <v>100</v>
      </c>
      <c r="P151" s="25">
        <f>'g1'!M86</f>
        <v>2</v>
      </c>
      <c r="Q151" s="25">
        <f>'g1'!N86</f>
        <v>1</v>
      </c>
      <c r="R151" s="25">
        <f>'g1'!O86</f>
        <v>2</v>
      </c>
      <c r="S151" s="27">
        <f>'g1'!P86</f>
        <v>20</v>
      </c>
      <c r="U151" s="61" t="s">
        <v>43</v>
      </c>
    </row>
    <row r="152" ht="22.5" customHeight="1" spans="1:21">
      <c r="A152" s="5" t="str">
        <f>'g1'!A113</f>
        <v>N.A.Walker</v>
      </c>
      <c r="B152" s="24">
        <f>'g1'!B113</f>
        <v>24</v>
      </c>
      <c r="C152" s="25">
        <f>'g1'!C113</f>
        <v>5</v>
      </c>
      <c r="D152" s="25">
        <f>'g1'!D113</f>
        <v>5</v>
      </c>
      <c r="E152" s="25">
        <f>'g1'!E113</f>
        <v>2</v>
      </c>
      <c r="F152" s="25">
        <f>'g1'!F113</f>
        <v>0</v>
      </c>
      <c r="G152" s="25">
        <f>'g1'!G113</f>
        <v>10</v>
      </c>
      <c r="H152" s="25">
        <f>'g1'!H113</f>
        <v>18</v>
      </c>
      <c r="I152" s="26">
        <f t="shared" si="40"/>
        <v>55.5555555555556</v>
      </c>
      <c r="J152" s="25">
        <f>'g1'!I113</f>
        <v>3</v>
      </c>
      <c r="K152" s="25">
        <f>'g1'!J113</f>
        <v>7</v>
      </c>
      <c r="L152" s="26">
        <f t="shared" si="41"/>
        <v>42.8571428571429</v>
      </c>
      <c r="M152" s="25">
        <f>'g1'!K113</f>
        <v>1</v>
      </c>
      <c r="N152" s="25">
        <f>'g1'!L113</f>
        <v>1</v>
      </c>
      <c r="O152" s="26">
        <f t="shared" si="42"/>
        <v>100</v>
      </c>
      <c r="P152" s="25">
        <f>'g1'!M113</f>
        <v>1</v>
      </c>
      <c r="Q152" s="25">
        <f>'g1'!N113</f>
        <v>1</v>
      </c>
      <c r="R152" s="25">
        <f>'g1'!O113</f>
        <v>1</v>
      </c>
      <c r="S152" s="27">
        <f>'g1'!P113</f>
        <v>17</v>
      </c>
      <c r="U152" s="61" t="s">
        <v>43</v>
      </c>
    </row>
    <row r="153" ht="22.5" customHeight="1" spans="1:21">
      <c r="A153" s="5" t="str">
        <f>'g1'!A139</f>
        <v>N.A.Walker</v>
      </c>
      <c r="B153" s="24">
        <f>'g1'!B139</f>
        <v>27</v>
      </c>
      <c r="C153" s="25">
        <f>'g1'!C139</f>
        <v>4</v>
      </c>
      <c r="D153" s="25">
        <f>'g1'!D139</f>
        <v>4</v>
      </c>
      <c r="E153" s="25">
        <f>'g1'!E139</f>
        <v>1</v>
      </c>
      <c r="F153" s="25">
        <f>'g1'!F139</f>
        <v>1</v>
      </c>
      <c r="G153" s="25">
        <f>'g1'!G139</f>
        <v>12</v>
      </c>
      <c r="H153" s="25">
        <f>'g1'!H139</f>
        <v>20</v>
      </c>
      <c r="I153" s="26">
        <f t="shared" si="40"/>
        <v>60</v>
      </c>
      <c r="J153" s="25">
        <f>'g1'!I139</f>
        <v>3</v>
      </c>
      <c r="K153" s="25">
        <f>'g1'!J139</f>
        <v>5</v>
      </c>
      <c r="L153" s="26">
        <f t="shared" si="41"/>
        <v>60</v>
      </c>
      <c r="M153" s="25">
        <f>'g1'!K139</f>
        <v>0</v>
      </c>
      <c r="N153" s="25">
        <f>'g1'!L139</f>
        <v>0</v>
      </c>
      <c r="O153" s="64" t="str">
        <f t="shared" si="42"/>
        <v>---</v>
      </c>
      <c r="P153" s="25">
        <f>'g1'!M139</f>
        <v>1</v>
      </c>
      <c r="Q153" s="25">
        <f>'g1'!N139</f>
        <v>6</v>
      </c>
      <c r="R153" s="25">
        <f>'g1'!O139</f>
        <v>2</v>
      </c>
      <c r="S153" s="27">
        <f>'g1'!P139</f>
        <v>4</v>
      </c>
      <c r="U153" s="61" t="s">
        <v>43</v>
      </c>
    </row>
    <row r="154" ht="22.5" customHeight="1" spans="1:21">
      <c r="A154" s="5" t="str">
        <f>'g1'!A165</f>
        <v>N.A.Walker</v>
      </c>
      <c r="B154" s="24">
        <f>'g1'!B165</f>
        <v>18</v>
      </c>
      <c r="C154" s="25">
        <f>'g1'!C165</f>
        <v>4</v>
      </c>
      <c r="D154" s="25">
        <f>'g1'!D165</f>
        <v>5</v>
      </c>
      <c r="E154" s="25">
        <f>'g1'!E165</f>
        <v>0</v>
      </c>
      <c r="F154" s="25">
        <f>'g1'!F165</f>
        <v>0</v>
      </c>
      <c r="G154" s="25">
        <f>'g1'!G165</f>
        <v>7</v>
      </c>
      <c r="H154" s="25">
        <f>'g1'!H165</f>
        <v>13</v>
      </c>
      <c r="I154" s="26">
        <f t="shared" si="40"/>
        <v>53.8461538461538</v>
      </c>
      <c r="J154" s="25">
        <f>'g1'!I165</f>
        <v>2</v>
      </c>
      <c r="K154" s="25">
        <f>'g1'!J165</f>
        <v>4</v>
      </c>
      <c r="L154" s="26">
        <f t="shared" si="41"/>
        <v>50</v>
      </c>
      <c r="M154" s="25">
        <f>'g1'!K165</f>
        <v>2</v>
      </c>
      <c r="N154" s="25">
        <f>'g1'!L165</f>
        <v>2</v>
      </c>
      <c r="O154" s="26">
        <f t="shared" si="42"/>
        <v>100</v>
      </c>
      <c r="P154" s="25">
        <f>'g1'!M165</f>
        <v>1</v>
      </c>
      <c r="Q154" s="25">
        <f>'g1'!N165</f>
        <v>2</v>
      </c>
      <c r="R154" s="25">
        <f>'g1'!O165</f>
        <v>0</v>
      </c>
      <c r="S154" s="27">
        <f>'g1'!P165</f>
        <v>-8</v>
      </c>
      <c r="U154" s="61" t="s">
        <v>43</v>
      </c>
    </row>
    <row r="155" ht="22.5" customHeight="1" spans="1:21">
      <c r="A155" s="17" t="s">
        <v>63</v>
      </c>
      <c r="B155" s="18">
        <f t="shared" ref="B155:H155" si="43">AVERAGE(B148:B154)</f>
        <v>30</v>
      </c>
      <c r="C155" s="19">
        <f t="shared" si="43"/>
        <v>5.42857142857143</v>
      </c>
      <c r="D155" s="19">
        <f t="shared" si="43"/>
        <v>5.57142857142857</v>
      </c>
      <c r="E155" s="19">
        <f t="shared" si="43"/>
        <v>1.57142857142857</v>
      </c>
      <c r="F155" s="19">
        <f t="shared" si="43"/>
        <v>1.14285714285714</v>
      </c>
      <c r="G155" s="19">
        <f t="shared" si="43"/>
        <v>11.8571428571429</v>
      </c>
      <c r="H155" s="19">
        <f t="shared" si="43"/>
        <v>20.1428571428571</v>
      </c>
      <c r="I155" s="36">
        <f t="shared" si="40"/>
        <v>58.8652482269504</v>
      </c>
      <c r="J155" s="19">
        <f>AVERAGE(J148:J154)</f>
        <v>3.57142857142857</v>
      </c>
      <c r="K155" s="19">
        <f>AVERAGE(K148:K154)</f>
        <v>7.71428571428571</v>
      </c>
      <c r="L155" s="36">
        <f t="shared" si="41"/>
        <v>46.2962962962963</v>
      </c>
      <c r="M155" s="19">
        <f>AVERAGE(M148:M154)</f>
        <v>2.71428571428571</v>
      </c>
      <c r="N155" s="19">
        <f>AVERAGE(N148:N154)</f>
        <v>3</v>
      </c>
      <c r="O155" s="36">
        <f t="shared" si="42"/>
        <v>90.4761904761905</v>
      </c>
      <c r="P155" s="19">
        <f>AVERAGE(P148:P154)</f>
        <v>1.28571428571429</v>
      </c>
      <c r="Q155" s="19">
        <f>AVERAGE(Q148:Q154)</f>
        <v>3.42857142857143</v>
      </c>
      <c r="R155" s="19">
        <f>AVERAGE(R148:R154)</f>
        <v>1</v>
      </c>
      <c r="S155" s="20">
        <f>AVERAGE(S148:S154)</f>
        <v>4.14285714285714</v>
      </c>
      <c r="U155" s="61" t="s">
        <v>43</v>
      </c>
    </row>
    <row r="156" spans="1:21">
      <c r="U156" s="61" t="s">
        <v>43</v>
      </c>
    </row>
    <row r="157" spans="1:21">
      <c r="U157" s="61" t="s">
        <v>43</v>
      </c>
    </row>
    <row r="158" spans="1:21">
      <c r="U158" s="61" t="s">
        <v>43</v>
      </c>
    </row>
    <row r="159" spans="1:21">
      <c r="U159" s="61" t="s">
        <v>43</v>
      </c>
    </row>
    <row r="160" spans="1:21">
      <c r="U160" s="61" t="s">
        <v>43</v>
      </c>
    </row>
    <row r="161" ht="28.5" customHeight="1" spans="1:21">
      <c r="A161" s="21" t="s">
        <v>19</v>
      </c>
      <c r="U161" s="61" t="s">
        <v>43</v>
      </c>
    </row>
    <row r="162" ht="22.5" customHeight="1" spans="1:21">
      <c r="A162" s="2" t="s">
        <v>44</v>
      </c>
      <c r="B162" s="22" t="s">
        <v>45</v>
      </c>
      <c r="C162" s="22" t="s">
        <v>46</v>
      </c>
      <c r="D162" s="22" t="s">
        <v>47</v>
      </c>
      <c r="E162" s="22" t="s">
        <v>48</v>
      </c>
      <c r="F162" s="22" t="s">
        <v>49</v>
      </c>
      <c r="G162" s="22" t="s">
        <v>50</v>
      </c>
      <c r="H162" s="22" t="s">
        <v>51</v>
      </c>
      <c r="I162" s="22" t="s">
        <v>52</v>
      </c>
      <c r="J162" s="22" t="s">
        <v>53</v>
      </c>
      <c r="K162" s="22" t="s">
        <v>54</v>
      </c>
      <c r="L162" s="22" t="s">
        <v>55</v>
      </c>
      <c r="M162" s="22" t="s">
        <v>56</v>
      </c>
      <c r="N162" s="22" t="s">
        <v>57</v>
      </c>
      <c r="O162" s="22" t="s">
        <v>58</v>
      </c>
      <c r="P162" s="22" t="s">
        <v>59</v>
      </c>
      <c r="Q162" s="22" t="s">
        <v>60</v>
      </c>
      <c r="R162" s="22" t="s">
        <v>61</v>
      </c>
      <c r="S162" s="23" t="s">
        <v>62</v>
      </c>
      <c r="U162" s="61" t="s">
        <v>43</v>
      </c>
    </row>
    <row r="163" ht="22.5" customHeight="1" spans="1:21">
      <c r="A163" s="5" t="str">
        <f>'g1'!A6</f>
        <v>B.Ingram</v>
      </c>
      <c r="B163" s="24">
        <f>'g1'!B6</f>
        <v>18</v>
      </c>
      <c r="C163" s="25">
        <f>'g1'!C6</f>
        <v>5</v>
      </c>
      <c r="D163" s="25">
        <f>'g1'!D6</f>
        <v>10</v>
      </c>
      <c r="E163" s="25">
        <f>'g1'!E6</f>
        <v>2</v>
      </c>
      <c r="F163" s="25">
        <f>'g1'!F6</f>
        <v>0</v>
      </c>
      <c r="G163" s="25">
        <f>'g1'!G6</f>
        <v>7</v>
      </c>
      <c r="H163" s="25">
        <f>'g1'!H6</f>
        <v>16</v>
      </c>
      <c r="I163" s="26">
        <f t="shared" ref="I163:I170" si="44">IF(H163,G163/H163*100,U161)</f>
        <v>43.75</v>
      </c>
      <c r="J163" s="25">
        <f>'g1'!I6</f>
        <v>1</v>
      </c>
      <c r="K163" s="25">
        <f>'g1'!J6</f>
        <v>3</v>
      </c>
      <c r="L163" s="26">
        <f t="shared" ref="L163:L170" si="45">IF(K163,J163/K163*100,U161)</f>
        <v>33.3333333333333</v>
      </c>
      <c r="M163" s="25">
        <f>'g1'!K6</f>
        <v>3</v>
      </c>
      <c r="N163" s="25">
        <f>'g1'!L6</f>
        <v>4</v>
      </c>
      <c r="O163" s="26">
        <f t="shared" ref="O163:O170" si="46">IF(N163,M163/N163*100,U161)</f>
        <v>75</v>
      </c>
      <c r="P163" s="25">
        <f>'g1'!M6</f>
        <v>1</v>
      </c>
      <c r="Q163" s="25">
        <f>'g1'!N6</f>
        <v>2</v>
      </c>
      <c r="R163" s="25">
        <f>'g1'!O6</f>
        <v>2</v>
      </c>
      <c r="S163" s="27">
        <f>'g1'!P6</f>
        <v>-11</v>
      </c>
      <c r="U163" s="61" t="s">
        <v>43</v>
      </c>
    </row>
    <row r="164" ht="22.5" customHeight="1" spans="1:21">
      <c r="A164" s="5" t="str">
        <f>'g1'!A33</f>
        <v>B.Ingram</v>
      </c>
      <c r="B164" s="24">
        <f>'g1'!B33</f>
        <v>21</v>
      </c>
      <c r="C164" s="25">
        <f>'g1'!C33</f>
        <v>8</v>
      </c>
      <c r="D164" s="25">
        <f>'g1'!D33</f>
        <v>17</v>
      </c>
      <c r="E164" s="25">
        <f>'g1'!E33</f>
        <v>1</v>
      </c>
      <c r="F164" s="25">
        <f>'g1'!F33</f>
        <v>1</v>
      </c>
      <c r="G164" s="25">
        <f>'g1'!G33</f>
        <v>8</v>
      </c>
      <c r="H164" s="25">
        <f>'g1'!H33</f>
        <v>15</v>
      </c>
      <c r="I164" s="26">
        <f t="shared" si="44"/>
        <v>53.3333333333333</v>
      </c>
      <c r="J164" s="25">
        <f>'g1'!I33</f>
        <v>1</v>
      </c>
      <c r="K164" s="25">
        <f>'g1'!J33</f>
        <v>2</v>
      </c>
      <c r="L164" s="26">
        <f t="shared" si="45"/>
        <v>50</v>
      </c>
      <c r="M164" s="25">
        <f>'g1'!K33</f>
        <v>4</v>
      </c>
      <c r="N164" s="25">
        <f>'g1'!L33</f>
        <v>8</v>
      </c>
      <c r="O164" s="26">
        <f t="shared" si="46"/>
        <v>50</v>
      </c>
      <c r="P164" s="25">
        <f>'g1'!M33</f>
        <v>2</v>
      </c>
      <c r="Q164" s="25">
        <f>'g1'!N33</f>
        <v>2</v>
      </c>
      <c r="R164" s="25">
        <f>'g1'!O33</f>
        <v>4</v>
      </c>
      <c r="S164" s="27">
        <f>'g1'!P33</f>
        <v>-4</v>
      </c>
      <c r="U164" s="61" t="s">
        <v>43</v>
      </c>
    </row>
    <row r="165" ht="22.5" customHeight="1" spans="1:21">
      <c r="A165" s="5" t="str">
        <f>'g1'!A60</f>
        <v>B.Ingram</v>
      </c>
      <c r="B165" s="24">
        <f>'g1'!B60</f>
        <v>38</v>
      </c>
      <c r="C165" s="25">
        <f>'g1'!C60</f>
        <v>6</v>
      </c>
      <c r="D165" s="25">
        <f>'g1'!D60</f>
        <v>9</v>
      </c>
      <c r="E165" s="25">
        <f>'g1'!E60</f>
        <v>0</v>
      </c>
      <c r="F165" s="25">
        <f>'g1'!F60</f>
        <v>4</v>
      </c>
      <c r="G165" s="25">
        <f>'g1'!G60</f>
        <v>14</v>
      </c>
      <c r="H165" s="25">
        <f>'g1'!H60</f>
        <v>26</v>
      </c>
      <c r="I165" s="26">
        <f t="shared" si="44"/>
        <v>53.8461538461538</v>
      </c>
      <c r="J165" s="25">
        <f>'g1'!I60</f>
        <v>1</v>
      </c>
      <c r="K165" s="25">
        <f>'g1'!J60</f>
        <v>4</v>
      </c>
      <c r="L165" s="26">
        <f t="shared" si="45"/>
        <v>25</v>
      </c>
      <c r="M165" s="25">
        <f>'g1'!K60</f>
        <v>9</v>
      </c>
      <c r="N165" s="25">
        <f>'g1'!L60</f>
        <v>10</v>
      </c>
      <c r="O165" s="26">
        <f t="shared" si="46"/>
        <v>90</v>
      </c>
      <c r="P165" s="25">
        <f>'g1'!M60</f>
        <v>2</v>
      </c>
      <c r="Q165" s="25">
        <f>'g1'!N60</f>
        <v>6</v>
      </c>
      <c r="R165" s="25">
        <f>'g1'!O60</f>
        <v>2</v>
      </c>
      <c r="S165" s="27">
        <f>'g1'!P60</f>
        <v>3</v>
      </c>
      <c r="U165" s="61" t="s">
        <v>43</v>
      </c>
    </row>
    <row r="166" ht="22.5" customHeight="1" spans="1:21">
      <c r="A166" s="5" t="str">
        <f>'g1'!A87</f>
        <v>B.Ingram</v>
      </c>
      <c r="B166" s="24">
        <f>'g1'!B87</f>
        <v>21</v>
      </c>
      <c r="C166" s="25">
        <f>'g1'!C87</f>
        <v>3</v>
      </c>
      <c r="D166" s="25">
        <f>'g1'!D87</f>
        <v>5</v>
      </c>
      <c r="E166" s="25">
        <f>'g1'!E87</f>
        <v>1</v>
      </c>
      <c r="F166" s="25">
        <f>'g1'!F87</f>
        <v>1</v>
      </c>
      <c r="G166" s="25">
        <f>'g1'!G87</f>
        <v>9</v>
      </c>
      <c r="H166" s="25">
        <f>'g1'!H87</f>
        <v>15</v>
      </c>
      <c r="I166" s="26">
        <f t="shared" si="44"/>
        <v>60</v>
      </c>
      <c r="J166" s="25">
        <f>'g1'!I87</f>
        <v>0</v>
      </c>
      <c r="K166" s="25">
        <f>'g1'!J87</f>
        <v>1</v>
      </c>
      <c r="L166" s="26">
        <f t="shared" si="45"/>
        <v>0</v>
      </c>
      <c r="M166" s="25">
        <f>'g1'!K87</f>
        <v>3</v>
      </c>
      <c r="N166" s="25">
        <f>'g1'!L87</f>
        <v>6</v>
      </c>
      <c r="O166" s="26">
        <f t="shared" si="46"/>
        <v>50</v>
      </c>
      <c r="P166" s="25">
        <f>'g1'!M87</f>
        <v>1</v>
      </c>
      <c r="Q166" s="25">
        <f>'g1'!N87</f>
        <v>3</v>
      </c>
      <c r="R166" s="25">
        <f>'g1'!O87</f>
        <v>2</v>
      </c>
      <c r="S166" s="27">
        <f>'g1'!P87</f>
        <v>9</v>
      </c>
      <c r="U166" s="61" t="s">
        <v>43</v>
      </c>
    </row>
    <row r="167" ht="22.5" customHeight="1" spans="1:21">
      <c r="A167" s="5" t="str">
        <f>'g1'!A114</f>
        <v>B.Ingram</v>
      </c>
      <c r="B167" s="24">
        <f>'g1'!B114</f>
        <v>14</v>
      </c>
      <c r="C167" s="25">
        <f>'g1'!C114</f>
        <v>8</v>
      </c>
      <c r="D167" s="25">
        <f>'g1'!D114</f>
        <v>10</v>
      </c>
      <c r="E167" s="25">
        <f>'g1'!E114</f>
        <v>3</v>
      </c>
      <c r="F167" s="25">
        <f>'g1'!F114</f>
        <v>1</v>
      </c>
      <c r="G167" s="25">
        <f>'g1'!G114</f>
        <v>7</v>
      </c>
      <c r="H167" s="25">
        <f>'g1'!H114</f>
        <v>12</v>
      </c>
      <c r="I167" s="26">
        <f t="shared" si="44"/>
        <v>58.3333333333333</v>
      </c>
      <c r="J167" s="25">
        <f>'g1'!I114</f>
        <v>0</v>
      </c>
      <c r="K167" s="25">
        <f>'g1'!J114</f>
        <v>1</v>
      </c>
      <c r="L167" s="26">
        <f t="shared" si="45"/>
        <v>0</v>
      </c>
      <c r="M167" s="25">
        <f>'g1'!K114</f>
        <v>0</v>
      </c>
      <c r="N167" s="25">
        <f>'g1'!L114</f>
        <v>0</v>
      </c>
      <c r="O167" s="64" t="str">
        <f t="shared" si="46"/>
        <v>---</v>
      </c>
      <c r="P167" s="25">
        <f>'g1'!M114</f>
        <v>1</v>
      </c>
      <c r="Q167" s="25">
        <f>'g1'!N114</f>
        <v>1</v>
      </c>
      <c r="R167" s="25">
        <f>'g1'!O114</f>
        <v>3</v>
      </c>
      <c r="S167" s="27">
        <f>'g1'!P114</f>
        <v>21</v>
      </c>
      <c r="U167" s="61" t="s">
        <v>43</v>
      </c>
    </row>
    <row r="168" ht="22.5" customHeight="1" spans="1:21">
      <c r="A168" s="5" t="str">
        <f>'g1'!A140</f>
        <v>B.Ingram</v>
      </c>
      <c r="B168" s="24">
        <f>'g1'!B140</f>
        <v>18</v>
      </c>
      <c r="C168" s="25">
        <f>'g1'!C140</f>
        <v>6</v>
      </c>
      <c r="D168" s="25">
        <f>'g1'!D140</f>
        <v>12</v>
      </c>
      <c r="E168" s="25">
        <f>'g1'!E140</f>
        <v>0</v>
      </c>
      <c r="F168" s="25">
        <f>'g1'!F140</f>
        <v>0</v>
      </c>
      <c r="G168" s="25">
        <f>'g1'!G140</f>
        <v>6</v>
      </c>
      <c r="H168" s="25">
        <f>'g1'!H140</f>
        <v>17</v>
      </c>
      <c r="I168" s="26">
        <f t="shared" si="44"/>
        <v>35.2941176470588</v>
      </c>
      <c r="J168" s="25">
        <f>'g1'!I140</f>
        <v>0</v>
      </c>
      <c r="K168" s="25">
        <f>'g1'!J140</f>
        <v>2</v>
      </c>
      <c r="L168" s="26">
        <f t="shared" si="45"/>
        <v>0</v>
      </c>
      <c r="M168" s="25">
        <f>'g1'!K140</f>
        <v>6</v>
      </c>
      <c r="N168" s="25">
        <f>'g1'!L140</f>
        <v>7</v>
      </c>
      <c r="O168" s="26">
        <f t="shared" si="46"/>
        <v>85.7142857142857</v>
      </c>
      <c r="P168" s="25">
        <f>'g1'!M140</f>
        <v>2</v>
      </c>
      <c r="Q168" s="25">
        <f>'g1'!N140</f>
        <v>3</v>
      </c>
      <c r="R168" s="25">
        <f>'g1'!O140</f>
        <v>2</v>
      </c>
      <c r="S168" s="27">
        <f>'g1'!P140</f>
        <v>-9</v>
      </c>
      <c r="U168" s="61" t="s">
        <v>43</v>
      </c>
    </row>
    <row r="169" ht="22.5" customHeight="1" spans="1:21">
      <c r="A169" s="5" t="str">
        <f>'g1'!A166</f>
        <v>B.Ingram</v>
      </c>
      <c r="B169" s="24">
        <f>'g1'!B166</f>
        <v>22</v>
      </c>
      <c r="C169" s="25">
        <f>'g1'!C166</f>
        <v>5</v>
      </c>
      <c r="D169" s="25">
        <f>'g1'!D166</f>
        <v>7</v>
      </c>
      <c r="E169" s="25">
        <f>'g1'!E166</f>
        <v>0</v>
      </c>
      <c r="F169" s="25">
        <f>'g1'!F166</f>
        <v>1</v>
      </c>
      <c r="G169" s="25">
        <f>'g1'!G166</f>
        <v>9</v>
      </c>
      <c r="H169" s="25">
        <f>'g1'!H166</f>
        <v>14</v>
      </c>
      <c r="I169" s="26">
        <f t="shared" si="44"/>
        <v>64.2857142857143</v>
      </c>
      <c r="J169" s="25">
        <f>'g1'!I166</f>
        <v>1</v>
      </c>
      <c r="K169" s="25">
        <f>'g1'!J166</f>
        <v>1</v>
      </c>
      <c r="L169" s="26">
        <f t="shared" si="45"/>
        <v>100</v>
      </c>
      <c r="M169" s="25">
        <f>'g1'!K166</f>
        <v>3</v>
      </c>
      <c r="N169" s="25">
        <f>'g1'!L166</f>
        <v>6</v>
      </c>
      <c r="O169" s="26">
        <f t="shared" si="46"/>
        <v>50</v>
      </c>
      <c r="P169" s="25">
        <f>'g1'!M166</f>
        <v>1</v>
      </c>
      <c r="Q169" s="25">
        <f>'g1'!N166</f>
        <v>2</v>
      </c>
      <c r="R169" s="25">
        <f>'g1'!O166</f>
        <v>0</v>
      </c>
      <c r="S169" s="27">
        <f>'g1'!P166</f>
        <v>-11</v>
      </c>
      <c r="U169" s="61" t="s">
        <v>43</v>
      </c>
    </row>
    <row r="170" ht="22.5" customHeight="1" spans="1:21">
      <c r="A170" s="17" t="s">
        <v>63</v>
      </c>
      <c r="B170" s="18">
        <f t="shared" ref="B170:H170" si="47">AVERAGE(B163:B169)</f>
        <v>21.7142857142857</v>
      </c>
      <c r="C170" s="19">
        <f t="shared" si="47"/>
        <v>5.85714285714286</v>
      </c>
      <c r="D170" s="19">
        <f t="shared" si="47"/>
        <v>10</v>
      </c>
      <c r="E170" s="19">
        <f t="shared" si="47"/>
        <v>1</v>
      </c>
      <c r="F170" s="19">
        <f t="shared" si="47"/>
        <v>1.14285714285714</v>
      </c>
      <c r="G170" s="19">
        <f t="shared" si="47"/>
        <v>8.57142857142857</v>
      </c>
      <c r="H170" s="19">
        <f t="shared" si="47"/>
        <v>16.4285714285714</v>
      </c>
      <c r="I170" s="36">
        <f t="shared" si="44"/>
        <v>52.1739130434783</v>
      </c>
      <c r="J170" s="19">
        <f>AVERAGE(J163:J169)</f>
        <v>0.571428571428571</v>
      </c>
      <c r="K170" s="19">
        <f>AVERAGE(K163:K169)</f>
        <v>2</v>
      </c>
      <c r="L170" s="36">
        <f t="shared" si="45"/>
        <v>28.5714285714286</v>
      </c>
      <c r="M170" s="19">
        <f>AVERAGE(M163:M169)</f>
        <v>4</v>
      </c>
      <c r="N170" s="19">
        <f>AVERAGE(N163:N169)</f>
        <v>5.85714285714286</v>
      </c>
      <c r="O170" s="36">
        <f t="shared" si="46"/>
        <v>68.2926829268293</v>
      </c>
      <c r="P170" s="19">
        <f>AVERAGE(P163:P169)</f>
        <v>1.42857142857143</v>
      </c>
      <c r="Q170" s="19">
        <f>AVERAGE(Q163:Q169)</f>
        <v>2.71428571428571</v>
      </c>
      <c r="R170" s="19">
        <f>AVERAGE(R163:R169)</f>
        <v>2.14285714285714</v>
      </c>
      <c r="S170" s="20">
        <f>AVERAGE(S163:S169)</f>
        <v>-0.285714285714286</v>
      </c>
      <c r="U170" s="61" t="s">
        <v>43</v>
      </c>
    </row>
    <row r="171" spans="1:21">
      <c r="U171" s="61" t="s">
        <v>43</v>
      </c>
    </row>
    <row r="172" spans="1:21">
      <c r="U172" s="61" t="s">
        <v>43</v>
      </c>
    </row>
    <row r="173" spans="1:21">
      <c r="U173" s="61" t="s">
        <v>43</v>
      </c>
    </row>
    <row r="174" spans="1:21">
      <c r="U174" s="61" t="s">
        <v>43</v>
      </c>
    </row>
    <row r="175" spans="1:21">
      <c r="U175" s="61" t="s">
        <v>43</v>
      </c>
    </row>
    <row r="176" ht="28.5" customHeight="1" spans="1:21">
      <c r="A176" s="21" t="s">
        <v>20</v>
      </c>
      <c r="U176" s="61" t="s">
        <v>43</v>
      </c>
    </row>
    <row r="177" ht="22.5" customHeight="1" spans="1:21">
      <c r="A177" s="2" t="s">
        <v>44</v>
      </c>
      <c r="B177" s="22" t="s">
        <v>45</v>
      </c>
      <c r="C177" s="22" t="s">
        <v>46</v>
      </c>
      <c r="D177" s="22" t="s">
        <v>47</v>
      </c>
      <c r="E177" s="22" t="s">
        <v>48</v>
      </c>
      <c r="F177" s="22" t="s">
        <v>49</v>
      </c>
      <c r="G177" s="22" t="s">
        <v>50</v>
      </c>
      <c r="H177" s="22" t="s">
        <v>51</v>
      </c>
      <c r="I177" s="22" t="s">
        <v>52</v>
      </c>
      <c r="J177" s="22" t="s">
        <v>53</v>
      </c>
      <c r="K177" s="22" t="s">
        <v>54</v>
      </c>
      <c r="L177" s="22" t="s">
        <v>55</v>
      </c>
      <c r="M177" s="22" t="s">
        <v>56</v>
      </c>
      <c r="N177" s="22" t="s">
        <v>57</v>
      </c>
      <c r="O177" s="22" t="s">
        <v>58</v>
      </c>
      <c r="P177" s="22" t="s">
        <v>59</v>
      </c>
      <c r="Q177" s="22" t="s">
        <v>60</v>
      </c>
      <c r="R177" s="22" t="s">
        <v>61</v>
      </c>
      <c r="S177" s="23" t="s">
        <v>62</v>
      </c>
      <c r="U177" s="61" t="s">
        <v>43</v>
      </c>
    </row>
    <row r="178" ht="22.5" customHeight="1" spans="1:21">
      <c r="A178" s="5" t="str">
        <f>'g1'!A7</f>
        <v>Z.Williamson</v>
      </c>
      <c r="B178" s="24">
        <f>'g1'!B7</f>
        <v>11</v>
      </c>
      <c r="C178" s="25">
        <f>'g1'!C7</f>
        <v>6</v>
      </c>
      <c r="D178" s="25">
        <f>'g1'!D7</f>
        <v>1</v>
      </c>
      <c r="E178" s="25">
        <f>'g1'!E7</f>
        <v>3</v>
      </c>
      <c r="F178" s="25">
        <f>'g1'!F7</f>
        <v>1</v>
      </c>
      <c r="G178" s="25">
        <f>'g1'!G7</f>
        <v>5</v>
      </c>
      <c r="H178" s="25">
        <f>'g1'!H7</f>
        <v>8</v>
      </c>
      <c r="I178" s="26">
        <f t="shared" ref="I178:I185" si="48">IF(H178,G178/H178*100,U176)</f>
        <v>62.5</v>
      </c>
      <c r="J178" s="25">
        <f>'g1'!I7</f>
        <v>1</v>
      </c>
      <c r="K178" s="25">
        <f>'g1'!J7</f>
        <v>2</v>
      </c>
      <c r="L178" s="26">
        <f t="shared" ref="L178:L185" si="49">IF(K178,J178/K178*100,U176)</f>
        <v>50</v>
      </c>
      <c r="M178" s="25">
        <f>'g1'!K7</f>
        <v>0</v>
      </c>
      <c r="N178" s="25">
        <f>'g1'!L7</f>
        <v>1</v>
      </c>
      <c r="O178" s="26">
        <f t="shared" ref="O178:O185" si="50">IF(N178,M178/N178*100,U176)</f>
        <v>0</v>
      </c>
      <c r="P178" s="25">
        <f>'g1'!M7</f>
        <v>1</v>
      </c>
      <c r="Q178" s="25">
        <f>'g1'!N7</f>
        <v>6</v>
      </c>
      <c r="R178" s="25">
        <f>'g1'!O7</f>
        <v>1</v>
      </c>
      <c r="S178" s="27">
        <f>'g1'!P7</f>
        <v>3</v>
      </c>
      <c r="U178" s="61" t="s">
        <v>43</v>
      </c>
    </row>
    <row r="179" ht="22.5" customHeight="1" spans="1:21">
      <c r="A179" s="5" t="str">
        <f>'g1'!A34</f>
        <v>Z.Williamson</v>
      </c>
      <c r="B179" s="24">
        <f>'g1'!B34</f>
        <v>14</v>
      </c>
      <c r="C179" s="25">
        <f>'g1'!C34</f>
        <v>13</v>
      </c>
      <c r="D179" s="25">
        <f>'g1'!D34</f>
        <v>3</v>
      </c>
      <c r="E179" s="25">
        <f>'g1'!E34</f>
        <v>2</v>
      </c>
      <c r="F179" s="25">
        <f>'g1'!F34</f>
        <v>1</v>
      </c>
      <c r="G179" s="25">
        <f>'g1'!G34</f>
        <v>7</v>
      </c>
      <c r="H179" s="25">
        <f>'g1'!H34</f>
        <v>13</v>
      </c>
      <c r="I179" s="26">
        <f t="shared" si="48"/>
        <v>53.8461538461538</v>
      </c>
      <c r="J179" s="25">
        <f>'g1'!I34</f>
        <v>0</v>
      </c>
      <c r="K179" s="25">
        <f>'g1'!J34</f>
        <v>0</v>
      </c>
      <c r="L179" s="64" t="str">
        <f t="shared" si="49"/>
        <v>---</v>
      </c>
      <c r="M179" s="25">
        <f>'g1'!K34</f>
        <v>0</v>
      </c>
      <c r="N179" s="25">
        <f>'g1'!L34</f>
        <v>2</v>
      </c>
      <c r="O179" s="26">
        <f t="shared" si="50"/>
        <v>0</v>
      </c>
      <c r="P179" s="25">
        <f>'g1'!M34</f>
        <v>6</v>
      </c>
      <c r="Q179" s="25">
        <f>'g1'!N34</f>
        <v>6</v>
      </c>
      <c r="R179" s="25">
        <f>'g1'!O34</f>
        <v>1</v>
      </c>
      <c r="S179" s="27">
        <f>'g1'!P34</f>
        <v>3</v>
      </c>
      <c r="U179" s="61" t="s">
        <v>43</v>
      </c>
    </row>
    <row r="180" ht="22.5" customHeight="1" spans="1:21">
      <c r="A180" s="5" t="str">
        <f>'g1'!A61</f>
        <v>Z.Williamson</v>
      </c>
      <c r="B180" s="24">
        <f>'g1'!B61</f>
        <v>17</v>
      </c>
      <c r="C180" s="25">
        <f>'g1'!C61</f>
        <v>14</v>
      </c>
      <c r="D180" s="25">
        <f>'g1'!D61</f>
        <v>3</v>
      </c>
      <c r="E180" s="25">
        <f>'g1'!E61</f>
        <v>2</v>
      </c>
      <c r="F180" s="25">
        <f>'g1'!F61</f>
        <v>4</v>
      </c>
      <c r="G180" s="25">
        <f>'g1'!G61</f>
        <v>8</v>
      </c>
      <c r="H180" s="25">
        <f>'g1'!H61</f>
        <v>19</v>
      </c>
      <c r="I180" s="26">
        <f t="shared" si="48"/>
        <v>42.1052631578947</v>
      </c>
      <c r="J180" s="25">
        <f>'g1'!I61</f>
        <v>0</v>
      </c>
      <c r="K180" s="25">
        <f>'g1'!J61</f>
        <v>1</v>
      </c>
      <c r="L180" s="26">
        <f t="shared" si="49"/>
        <v>0</v>
      </c>
      <c r="M180" s="25">
        <f>'g1'!K61</f>
        <v>1</v>
      </c>
      <c r="N180" s="25">
        <f>'g1'!L61</f>
        <v>1</v>
      </c>
      <c r="O180" s="26">
        <f t="shared" si="50"/>
        <v>100</v>
      </c>
      <c r="P180" s="25">
        <f>'g1'!M61</f>
        <v>2</v>
      </c>
      <c r="Q180" s="25">
        <f>'g1'!N61</f>
        <v>3</v>
      </c>
      <c r="R180" s="25">
        <f>'g1'!O61</f>
        <v>0</v>
      </c>
      <c r="S180" s="27">
        <f>'g1'!P61</f>
        <v>7</v>
      </c>
      <c r="U180" s="61" t="s">
        <v>43</v>
      </c>
    </row>
    <row r="181" ht="22.5" customHeight="1" spans="1:21">
      <c r="A181" s="5" t="str">
        <f>'g1'!A88</f>
        <v>Z.Williamson</v>
      </c>
      <c r="B181" s="24">
        <f>'g1'!B88</f>
        <v>18</v>
      </c>
      <c r="C181" s="25">
        <f>'g1'!C88</f>
        <v>9</v>
      </c>
      <c r="D181" s="25">
        <f>'g1'!D88</f>
        <v>1</v>
      </c>
      <c r="E181" s="25">
        <f>'g1'!E88</f>
        <v>1</v>
      </c>
      <c r="F181" s="25">
        <f>'g1'!F88</f>
        <v>1</v>
      </c>
      <c r="G181" s="25">
        <f>'g1'!G88</f>
        <v>8</v>
      </c>
      <c r="H181" s="25">
        <f>'g1'!H88</f>
        <v>11</v>
      </c>
      <c r="I181" s="26">
        <f t="shared" si="48"/>
        <v>72.7272727272727</v>
      </c>
      <c r="J181" s="25">
        <f>'g1'!I88</f>
        <v>0</v>
      </c>
      <c r="K181" s="25">
        <f>'g1'!J88</f>
        <v>0</v>
      </c>
      <c r="L181" s="64" t="str">
        <f t="shared" si="49"/>
        <v>---</v>
      </c>
      <c r="M181" s="25">
        <f>'g1'!K88</f>
        <v>2</v>
      </c>
      <c r="N181" s="25">
        <f>'g1'!L88</f>
        <v>2</v>
      </c>
      <c r="O181" s="26">
        <f t="shared" si="50"/>
        <v>100</v>
      </c>
      <c r="P181" s="25">
        <f>'g1'!M88</f>
        <v>1</v>
      </c>
      <c r="Q181" s="25">
        <f>'g1'!N88</f>
        <v>3</v>
      </c>
      <c r="R181" s="25">
        <f>'g1'!O88</f>
        <v>0</v>
      </c>
      <c r="S181" s="27">
        <f>'g1'!P88</f>
        <v>21</v>
      </c>
      <c r="U181" s="61" t="s">
        <v>43</v>
      </c>
    </row>
    <row r="182" ht="22.5" customHeight="1" spans="1:21">
      <c r="A182" s="5" t="str">
        <f>'g1'!A115</f>
        <v>Z.Williamson</v>
      </c>
      <c r="B182" s="24">
        <f>'g1'!B115</f>
        <v>5</v>
      </c>
      <c r="C182" s="25">
        <f>'g1'!C115</f>
        <v>5</v>
      </c>
      <c r="D182" s="25">
        <f>'g1'!D115</f>
        <v>5</v>
      </c>
      <c r="E182" s="25">
        <f>'g1'!E115</f>
        <v>0</v>
      </c>
      <c r="F182" s="25">
        <f>'g1'!F115</f>
        <v>3</v>
      </c>
      <c r="G182" s="25">
        <f>'g1'!G115</f>
        <v>1</v>
      </c>
      <c r="H182" s="25">
        <f>'g1'!H115</f>
        <v>5</v>
      </c>
      <c r="I182" s="26">
        <f t="shared" si="48"/>
        <v>20</v>
      </c>
      <c r="J182" s="25">
        <f>'g1'!I115</f>
        <v>1</v>
      </c>
      <c r="K182" s="25">
        <f>'g1'!J115</f>
        <v>2</v>
      </c>
      <c r="L182" s="26">
        <f t="shared" si="49"/>
        <v>50</v>
      </c>
      <c r="M182" s="25">
        <f>'g1'!K115</f>
        <v>2</v>
      </c>
      <c r="N182" s="25">
        <f>'g1'!L115</f>
        <v>4</v>
      </c>
      <c r="O182" s="26">
        <f t="shared" si="50"/>
        <v>50</v>
      </c>
      <c r="P182" s="25">
        <f>'g1'!M115</f>
        <v>3</v>
      </c>
      <c r="Q182" s="25">
        <f>'g1'!N115</f>
        <v>0</v>
      </c>
      <c r="R182" s="25">
        <f>'g1'!O115</f>
        <v>0</v>
      </c>
      <c r="S182" s="27">
        <f>'g1'!P115</f>
        <v>30</v>
      </c>
      <c r="U182" s="61" t="s">
        <v>43</v>
      </c>
    </row>
    <row r="183" ht="22.5" customHeight="1" spans="1:21">
      <c r="A183" s="5" t="str">
        <f>'g1'!A141</f>
        <v>Z.Williamson</v>
      </c>
      <c r="B183" s="24">
        <f>'g1'!B141</f>
        <v>11</v>
      </c>
      <c r="C183" s="25">
        <f>'g1'!C141</f>
        <v>8</v>
      </c>
      <c r="D183" s="25">
        <f>'g1'!D141</f>
        <v>3</v>
      </c>
      <c r="E183" s="25">
        <f>'g1'!E141</f>
        <v>0</v>
      </c>
      <c r="F183" s="25">
        <f>'g1'!F141</f>
        <v>2</v>
      </c>
      <c r="G183" s="25">
        <f>'g1'!G141</f>
        <v>5</v>
      </c>
      <c r="H183" s="25">
        <f>'g1'!H141</f>
        <v>13</v>
      </c>
      <c r="I183" s="26">
        <f t="shared" si="48"/>
        <v>38.4615384615385</v>
      </c>
      <c r="J183" s="25">
        <f>'g1'!I141</f>
        <v>0</v>
      </c>
      <c r="K183" s="25">
        <f>'g1'!J141</f>
        <v>5</v>
      </c>
      <c r="L183" s="26">
        <f t="shared" si="49"/>
        <v>0</v>
      </c>
      <c r="M183" s="25">
        <f>'g1'!K141</f>
        <v>1</v>
      </c>
      <c r="N183" s="25">
        <f>'g1'!L141</f>
        <v>2</v>
      </c>
      <c r="O183" s="26">
        <f t="shared" si="50"/>
        <v>50</v>
      </c>
      <c r="P183" s="25">
        <f>'g1'!M141</f>
        <v>3</v>
      </c>
      <c r="Q183" s="25">
        <f>'g1'!N141</f>
        <v>4</v>
      </c>
      <c r="R183" s="25">
        <f>'g1'!O141</f>
        <v>0</v>
      </c>
      <c r="S183" s="27">
        <f>'g1'!P141</f>
        <v>-10</v>
      </c>
      <c r="U183" s="61" t="s">
        <v>43</v>
      </c>
    </row>
    <row r="184" ht="22.5" customHeight="1" spans="1:21">
      <c r="A184" s="5" t="str">
        <f>'g1'!A167</f>
        <v>Z.Williamson</v>
      </c>
      <c r="B184" s="24">
        <f>'g1'!B167</f>
        <v>10</v>
      </c>
      <c r="C184" s="25">
        <f>'g1'!C167</f>
        <v>7</v>
      </c>
      <c r="D184" s="25">
        <f>'g1'!D167</f>
        <v>4</v>
      </c>
      <c r="E184" s="25">
        <f>'g1'!E167</f>
        <v>0</v>
      </c>
      <c r="F184" s="25">
        <f>'g1'!F167</f>
        <v>0</v>
      </c>
      <c r="G184" s="25">
        <f>'g1'!G167</f>
        <v>4</v>
      </c>
      <c r="H184" s="25">
        <f>'g1'!H167</f>
        <v>12</v>
      </c>
      <c r="I184" s="26">
        <f t="shared" si="48"/>
        <v>33.3333333333333</v>
      </c>
      <c r="J184" s="25">
        <f>'g1'!I167</f>
        <v>1</v>
      </c>
      <c r="K184" s="25">
        <f>'g1'!J167</f>
        <v>3</v>
      </c>
      <c r="L184" s="26">
        <f t="shared" si="49"/>
        <v>33.3333333333333</v>
      </c>
      <c r="M184" s="25">
        <f>'g1'!K167</f>
        <v>1</v>
      </c>
      <c r="N184" s="25">
        <f>'g1'!L167</f>
        <v>2</v>
      </c>
      <c r="O184" s="26">
        <f t="shared" si="50"/>
        <v>50</v>
      </c>
      <c r="P184" s="25">
        <f>'g1'!M167</f>
        <v>0</v>
      </c>
      <c r="Q184" s="25">
        <f>'g1'!N167</f>
        <v>6</v>
      </c>
      <c r="R184" s="25">
        <f>'g1'!O167</f>
        <v>1</v>
      </c>
      <c r="S184" s="27">
        <f>'g1'!P167</f>
        <v>-11</v>
      </c>
      <c r="U184" s="61" t="s">
        <v>43</v>
      </c>
    </row>
    <row r="185" ht="22.5" customHeight="1" spans="1:21">
      <c r="A185" s="17" t="s">
        <v>63</v>
      </c>
      <c r="B185" s="18">
        <f t="shared" ref="B185:H185" si="51">AVERAGE(B178:B184)</f>
        <v>12.2857142857143</v>
      </c>
      <c r="C185" s="19">
        <f t="shared" si="51"/>
        <v>8.85714285714286</v>
      </c>
      <c r="D185" s="19">
        <f t="shared" si="51"/>
        <v>2.85714285714286</v>
      </c>
      <c r="E185" s="19">
        <f t="shared" si="51"/>
        <v>1.14285714285714</v>
      </c>
      <c r="F185" s="19">
        <f t="shared" si="51"/>
        <v>1.71428571428571</v>
      </c>
      <c r="G185" s="19">
        <f t="shared" si="51"/>
        <v>5.42857142857143</v>
      </c>
      <c r="H185" s="19">
        <f t="shared" si="51"/>
        <v>11.5714285714286</v>
      </c>
      <c r="I185" s="36">
        <f t="shared" si="48"/>
        <v>46.9135802469136</v>
      </c>
      <c r="J185" s="19">
        <f>AVERAGE(J178:J184)</f>
        <v>0.428571428571429</v>
      </c>
      <c r="K185" s="19">
        <f>AVERAGE(K178:K184)</f>
        <v>1.85714285714286</v>
      </c>
      <c r="L185" s="36">
        <f t="shared" si="49"/>
        <v>23.0769230769231</v>
      </c>
      <c r="M185" s="19">
        <f>AVERAGE(M178:M184)</f>
        <v>1</v>
      </c>
      <c r="N185" s="19">
        <f>AVERAGE(N178:N184)</f>
        <v>2</v>
      </c>
      <c r="O185" s="36">
        <f t="shared" si="50"/>
        <v>50</v>
      </c>
      <c r="P185" s="19">
        <f>AVERAGE(P178:P184)</f>
        <v>2.28571428571429</v>
      </c>
      <c r="Q185" s="19">
        <f>AVERAGE(Q178:Q184)</f>
        <v>4</v>
      </c>
      <c r="R185" s="19">
        <f>AVERAGE(R178:R184)</f>
        <v>0.428571428571429</v>
      </c>
      <c r="S185" s="20">
        <f>AVERAGE(S178:S184)</f>
        <v>6.14285714285714</v>
      </c>
      <c r="U185" s="61" t="s">
        <v>43</v>
      </c>
    </row>
    <row r="186" spans="1:21">
      <c r="U186" s="61" t="s">
        <v>43</v>
      </c>
    </row>
    <row r="187" spans="1:21">
      <c r="U187" s="61" t="s">
        <v>43</v>
      </c>
    </row>
    <row r="188" spans="1:21">
      <c r="U188" s="61" t="s">
        <v>43</v>
      </c>
    </row>
    <row r="189" spans="1:21">
      <c r="U189" s="61" t="s">
        <v>43</v>
      </c>
    </row>
    <row r="190" spans="1:21">
      <c r="U190" s="61" t="s">
        <v>43</v>
      </c>
    </row>
    <row r="191" ht="28.5" customHeight="1" spans="1:21">
      <c r="A191" s="21" t="s">
        <v>21</v>
      </c>
      <c r="U191" s="61" t="s">
        <v>43</v>
      </c>
    </row>
    <row r="192" ht="22.5" customHeight="1" spans="1:21">
      <c r="A192" s="2" t="s">
        <v>44</v>
      </c>
      <c r="B192" s="22" t="s">
        <v>45</v>
      </c>
      <c r="C192" s="22" t="s">
        <v>46</v>
      </c>
      <c r="D192" s="22" t="s">
        <v>47</v>
      </c>
      <c r="E192" s="22" t="s">
        <v>48</v>
      </c>
      <c r="F192" s="22" t="s">
        <v>49</v>
      </c>
      <c r="G192" s="22" t="s">
        <v>50</v>
      </c>
      <c r="H192" s="22" t="s">
        <v>51</v>
      </c>
      <c r="I192" s="22" t="s">
        <v>52</v>
      </c>
      <c r="J192" s="22" t="s">
        <v>53</v>
      </c>
      <c r="K192" s="22" t="s">
        <v>54</v>
      </c>
      <c r="L192" s="22" t="s">
        <v>55</v>
      </c>
      <c r="M192" s="22" t="s">
        <v>56</v>
      </c>
      <c r="N192" s="22" t="s">
        <v>57</v>
      </c>
      <c r="O192" s="22" t="s">
        <v>58</v>
      </c>
      <c r="P192" s="22" t="s">
        <v>59</v>
      </c>
      <c r="Q192" s="22" t="s">
        <v>60</v>
      </c>
      <c r="R192" s="22" t="s">
        <v>61</v>
      </c>
      <c r="S192" s="23" t="s">
        <v>62</v>
      </c>
      <c r="U192" s="61" t="s">
        <v>43</v>
      </c>
    </row>
    <row r="193" ht="22.5" customHeight="1" spans="1:21">
      <c r="A193" s="5" t="str">
        <f>'g1'!A8</f>
        <v>A.Drummond</v>
      </c>
      <c r="B193" s="24">
        <f>'g1'!B8</f>
        <v>19</v>
      </c>
      <c r="C193" s="25">
        <f>'g1'!C8</f>
        <v>22</v>
      </c>
      <c r="D193" s="25">
        <f>'g1'!D8</f>
        <v>2</v>
      </c>
      <c r="E193" s="25">
        <f>'g1'!E8</f>
        <v>0</v>
      </c>
      <c r="F193" s="25">
        <f>'g1'!F8</f>
        <v>1</v>
      </c>
      <c r="G193" s="25">
        <f>'g1'!G8</f>
        <v>9</v>
      </c>
      <c r="H193" s="25">
        <f>'g1'!H8</f>
        <v>12</v>
      </c>
      <c r="I193" s="26">
        <f t="shared" ref="I193:I200" si="52">IF(H193,G193/H193*100,U191)</f>
        <v>75</v>
      </c>
      <c r="J193" s="25">
        <f>'g1'!I8</f>
        <v>0</v>
      </c>
      <c r="K193" s="25">
        <f>'g1'!J8</f>
        <v>0</v>
      </c>
      <c r="L193" s="64" t="str">
        <f t="shared" ref="L193:L200" si="53">IF(K193,J193/K193*100,U191)</f>
        <v>---</v>
      </c>
      <c r="M193" s="25">
        <f>'g1'!K8</f>
        <v>1</v>
      </c>
      <c r="N193" s="25">
        <f>'g1'!L8</f>
        <v>2</v>
      </c>
      <c r="O193" s="26">
        <f t="shared" ref="O193:O200" si="54">IF(N193,M193/N193*100,U191)</f>
        <v>50</v>
      </c>
      <c r="P193" s="25">
        <f>'g1'!M8</f>
        <v>11</v>
      </c>
      <c r="Q193" s="25">
        <f>'g1'!N8</f>
        <v>1</v>
      </c>
      <c r="R193" s="25">
        <f>'g1'!O8</f>
        <v>0</v>
      </c>
      <c r="S193" s="27">
        <f>'g1'!P8</f>
        <v>-3</v>
      </c>
      <c r="U193" s="61" t="s">
        <v>43</v>
      </c>
    </row>
    <row r="194" ht="22.5" customHeight="1" spans="1:21">
      <c r="A194" s="5" t="str">
        <f>'g1'!A35</f>
        <v>A.Drummond</v>
      </c>
      <c r="B194" s="24">
        <f>'g1'!B35</f>
        <v>29</v>
      </c>
      <c r="C194" s="25">
        <f>'g1'!C35</f>
        <v>21</v>
      </c>
      <c r="D194" s="25">
        <f>'g1'!D35</f>
        <v>7</v>
      </c>
      <c r="E194" s="25">
        <f>'g1'!E35</f>
        <v>2</v>
      </c>
      <c r="F194" s="25">
        <f>'g1'!F35</f>
        <v>3</v>
      </c>
      <c r="G194" s="25">
        <f>'g1'!G35</f>
        <v>13</v>
      </c>
      <c r="H194" s="25">
        <f>'g1'!H35</f>
        <v>23</v>
      </c>
      <c r="I194" s="26">
        <f t="shared" si="52"/>
        <v>56.5217391304348</v>
      </c>
      <c r="J194" s="25">
        <f>'g1'!I35</f>
        <v>0</v>
      </c>
      <c r="K194" s="25">
        <f>'g1'!J35</f>
        <v>0</v>
      </c>
      <c r="L194" s="64" t="str">
        <f t="shared" si="53"/>
        <v>---</v>
      </c>
      <c r="M194" s="25">
        <f>'g1'!K35</f>
        <v>3</v>
      </c>
      <c r="N194" s="25">
        <f>'g1'!L35</f>
        <v>4</v>
      </c>
      <c r="O194" s="26">
        <f t="shared" si="54"/>
        <v>75</v>
      </c>
      <c r="P194" s="25">
        <f>'g1'!M35</f>
        <v>9</v>
      </c>
      <c r="Q194" s="25">
        <f>'g1'!N35</f>
        <v>3</v>
      </c>
      <c r="R194" s="25">
        <f>'g1'!O35</f>
        <v>1</v>
      </c>
      <c r="S194" s="27">
        <f>'g1'!P35</f>
        <v>-10</v>
      </c>
      <c r="U194" s="61" t="s">
        <v>43</v>
      </c>
    </row>
    <row r="195" ht="22.5" customHeight="1" spans="1:21">
      <c r="A195" s="5" t="str">
        <f>'g1'!A62</f>
        <v>A.Drummond</v>
      </c>
      <c r="B195" s="24">
        <f>'g1'!B62</f>
        <v>30</v>
      </c>
      <c r="C195" s="25">
        <f>'g1'!C62</f>
        <v>26</v>
      </c>
      <c r="D195" s="25">
        <f>'g1'!D62</f>
        <v>3</v>
      </c>
      <c r="E195" s="25">
        <f>'g1'!E62</f>
        <v>1</v>
      </c>
      <c r="F195" s="25">
        <f>'g1'!F62</f>
        <v>4</v>
      </c>
      <c r="G195" s="25">
        <f>'g1'!G62</f>
        <v>15</v>
      </c>
      <c r="H195" s="25">
        <f>'g1'!H62</f>
        <v>17</v>
      </c>
      <c r="I195" s="26">
        <f t="shared" si="52"/>
        <v>88.2352941176471</v>
      </c>
      <c r="J195" s="25">
        <f>'g1'!I62</f>
        <v>0</v>
      </c>
      <c r="K195" s="25">
        <f>'g1'!J62</f>
        <v>0</v>
      </c>
      <c r="L195" s="64" t="str">
        <f t="shared" si="53"/>
        <v>---</v>
      </c>
      <c r="M195" s="25">
        <f>'g1'!K62</f>
        <v>0</v>
      </c>
      <c r="N195" s="25">
        <f>'g1'!L62</f>
        <v>0</v>
      </c>
      <c r="O195" s="64" t="str">
        <f t="shared" si="54"/>
        <v>---</v>
      </c>
      <c r="P195" s="25">
        <f>'g1'!M62</f>
        <v>14</v>
      </c>
      <c r="Q195" s="25">
        <f>'g1'!N62</f>
        <v>5</v>
      </c>
      <c r="R195" s="25">
        <f>'g1'!O62</f>
        <v>0</v>
      </c>
      <c r="S195" s="27">
        <f>'g1'!P62</f>
        <v>12</v>
      </c>
      <c r="U195" s="61" t="s">
        <v>43</v>
      </c>
    </row>
    <row r="196" ht="22.5" customHeight="1" spans="1:21">
      <c r="A196" s="5" t="str">
        <f>'g1'!A89</f>
        <v>A.Drummond</v>
      </c>
      <c r="B196" s="24">
        <f>'g1'!B89</f>
        <v>22</v>
      </c>
      <c r="C196" s="25">
        <f>'g1'!C89</f>
        <v>16</v>
      </c>
      <c r="D196" s="25">
        <f>'g1'!D89</f>
        <v>0</v>
      </c>
      <c r="E196" s="25">
        <f>'g1'!E89</f>
        <v>0</v>
      </c>
      <c r="F196" s="25">
        <f>'g1'!F89</f>
        <v>1</v>
      </c>
      <c r="G196" s="25">
        <f>'g1'!G89</f>
        <v>10</v>
      </c>
      <c r="H196" s="25">
        <f>'g1'!H89</f>
        <v>14</v>
      </c>
      <c r="I196" s="26">
        <f t="shared" si="52"/>
        <v>71.4285714285714</v>
      </c>
      <c r="J196" s="25">
        <f>'g1'!I89</f>
        <v>0</v>
      </c>
      <c r="K196" s="25">
        <f>'g1'!J89</f>
        <v>0</v>
      </c>
      <c r="L196" s="64" t="str">
        <f t="shared" si="53"/>
        <v>---</v>
      </c>
      <c r="M196" s="25">
        <f>'g1'!K89</f>
        <v>2</v>
      </c>
      <c r="N196" s="25">
        <f>'g1'!L89</f>
        <v>4</v>
      </c>
      <c r="O196" s="26">
        <f t="shared" si="54"/>
        <v>50</v>
      </c>
      <c r="P196" s="25">
        <f>'g1'!M89</f>
        <v>6</v>
      </c>
      <c r="Q196" s="25">
        <f>'g1'!N89</f>
        <v>0</v>
      </c>
      <c r="R196" s="25">
        <f>'g1'!O89</f>
        <v>0</v>
      </c>
      <c r="S196" s="27">
        <f>'g1'!P89</f>
        <v>14</v>
      </c>
      <c r="U196" s="61" t="s">
        <v>43</v>
      </c>
    </row>
    <row r="197" ht="22.5" customHeight="1" spans="1:21">
      <c r="A197" s="5" t="str">
        <f>'g1'!A116</f>
        <v>A.Drummond</v>
      </c>
      <c r="B197" s="24">
        <f>'g1'!B116</f>
        <v>14</v>
      </c>
      <c r="C197" s="25">
        <f>'g1'!C116</f>
        <v>9</v>
      </c>
      <c r="D197" s="25">
        <f>'g1'!D116</f>
        <v>0</v>
      </c>
      <c r="E197" s="25">
        <f>'g1'!E116</f>
        <v>0</v>
      </c>
      <c r="F197" s="25">
        <f>'g1'!F116</f>
        <v>2</v>
      </c>
      <c r="G197" s="25">
        <f>'g1'!G116</f>
        <v>6</v>
      </c>
      <c r="H197" s="25">
        <f>'g1'!H116</f>
        <v>8</v>
      </c>
      <c r="I197" s="26">
        <f t="shared" si="52"/>
        <v>75</v>
      </c>
      <c r="J197" s="25">
        <f>'g1'!I116</f>
        <v>0</v>
      </c>
      <c r="K197" s="25">
        <f>'g1'!J116</f>
        <v>0</v>
      </c>
      <c r="L197" s="64" t="str">
        <f t="shared" si="53"/>
        <v>---</v>
      </c>
      <c r="M197" s="25">
        <f>'g1'!K116</f>
        <v>2</v>
      </c>
      <c r="N197" s="25">
        <f>'g1'!L116</f>
        <v>2</v>
      </c>
      <c r="O197" s="26">
        <f t="shared" si="54"/>
        <v>100</v>
      </c>
      <c r="P197" s="25">
        <f>'g1'!M116</f>
        <v>6</v>
      </c>
      <c r="Q197" s="25">
        <f>'g1'!N116</f>
        <v>1</v>
      </c>
      <c r="R197" s="25">
        <f>'g1'!O116</f>
        <v>0</v>
      </c>
      <c r="S197" s="27">
        <f>'g1'!P116</f>
        <v>13</v>
      </c>
      <c r="U197" s="61" t="s">
        <v>43</v>
      </c>
    </row>
    <row r="198" ht="22.5" customHeight="1" spans="1:21">
      <c r="A198" s="5" t="str">
        <f>'g1'!A142</f>
        <v>A.Drummond</v>
      </c>
      <c r="B198" s="24">
        <f>'g1'!B142</f>
        <v>12</v>
      </c>
      <c r="C198" s="25">
        <f>'g1'!C142</f>
        <v>19</v>
      </c>
      <c r="D198" s="25">
        <f>'g1'!D142</f>
        <v>2</v>
      </c>
      <c r="E198" s="25">
        <f>'g1'!E142</f>
        <v>0</v>
      </c>
      <c r="F198" s="25">
        <f>'g1'!F142</f>
        <v>1</v>
      </c>
      <c r="G198" s="25">
        <f>'g1'!G142</f>
        <v>6</v>
      </c>
      <c r="H198" s="25">
        <f>'g1'!H142</f>
        <v>14</v>
      </c>
      <c r="I198" s="26">
        <f t="shared" si="52"/>
        <v>42.8571428571429</v>
      </c>
      <c r="J198" s="25">
        <f>'g1'!I142</f>
        <v>0</v>
      </c>
      <c r="K198" s="25">
        <f>'g1'!J142</f>
        <v>1</v>
      </c>
      <c r="L198" s="26">
        <f t="shared" si="53"/>
        <v>0</v>
      </c>
      <c r="M198" s="25">
        <f>'g1'!K142</f>
        <v>0</v>
      </c>
      <c r="N198" s="25">
        <f>'g1'!L142</f>
        <v>0</v>
      </c>
      <c r="O198" s="64" t="str">
        <f t="shared" si="54"/>
        <v>---</v>
      </c>
      <c r="P198" s="25">
        <f>'g1'!M142</f>
        <v>9</v>
      </c>
      <c r="Q198" s="25">
        <f>'g1'!N142</f>
        <v>1</v>
      </c>
      <c r="R198" s="25">
        <f>'g1'!O142</f>
        <v>1</v>
      </c>
      <c r="S198" s="27">
        <f>'g1'!P142</f>
        <v>-17</v>
      </c>
      <c r="U198" s="61" t="s">
        <v>43</v>
      </c>
    </row>
    <row r="199" ht="22.5" customHeight="1" spans="1:21">
      <c r="A199" s="5" t="str">
        <f>'g1'!A168</f>
        <v>A.Drummond</v>
      </c>
      <c r="B199" s="24">
        <f>'g1'!B168</f>
        <v>21</v>
      </c>
      <c r="C199" s="25">
        <f>'g1'!C168</f>
        <v>21</v>
      </c>
      <c r="D199" s="25">
        <f>'g1'!D168</f>
        <v>3</v>
      </c>
      <c r="E199" s="25">
        <f>'g1'!E168</f>
        <v>1</v>
      </c>
      <c r="F199" s="25">
        <f>'g1'!F168</f>
        <v>1</v>
      </c>
      <c r="G199" s="25">
        <f>'g1'!G168</f>
        <v>10</v>
      </c>
      <c r="H199" s="25">
        <f>'g1'!H168</f>
        <v>15</v>
      </c>
      <c r="I199" s="26">
        <f t="shared" si="52"/>
        <v>66.6666666666667</v>
      </c>
      <c r="J199" s="25">
        <f>'g1'!I168</f>
        <v>0</v>
      </c>
      <c r="K199" s="25">
        <f>'g1'!J168</f>
        <v>0</v>
      </c>
      <c r="L199" s="64" t="str">
        <f t="shared" si="53"/>
        <v>---</v>
      </c>
      <c r="M199" s="25">
        <f>'g1'!K168</f>
        <v>1</v>
      </c>
      <c r="N199" s="25">
        <f>'g1'!L168</f>
        <v>2</v>
      </c>
      <c r="O199" s="26">
        <f t="shared" si="54"/>
        <v>50</v>
      </c>
      <c r="P199" s="25">
        <f>'g1'!M168</f>
        <v>7</v>
      </c>
      <c r="Q199" s="25">
        <f>'g1'!N168</f>
        <v>3</v>
      </c>
      <c r="R199" s="25">
        <f>'g1'!O168</f>
        <v>2</v>
      </c>
      <c r="S199" s="27">
        <f>'g1'!P168</f>
        <v>-2</v>
      </c>
      <c r="U199" s="61" t="s">
        <v>43</v>
      </c>
    </row>
    <row r="200" ht="22.5" customHeight="1" spans="1:21">
      <c r="A200" s="17" t="s">
        <v>63</v>
      </c>
      <c r="B200" s="18">
        <f t="shared" ref="B200:H200" si="55">AVERAGE(B193:B199)</f>
        <v>21</v>
      </c>
      <c r="C200" s="19">
        <f t="shared" si="55"/>
        <v>19.1428571428571</v>
      </c>
      <c r="D200" s="19">
        <f t="shared" si="55"/>
        <v>2.42857142857143</v>
      </c>
      <c r="E200" s="19">
        <f t="shared" si="55"/>
        <v>0.571428571428571</v>
      </c>
      <c r="F200" s="19">
        <f t="shared" si="55"/>
        <v>1.85714285714286</v>
      </c>
      <c r="G200" s="19">
        <f t="shared" si="55"/>
        <v>9.85714285714286</v>
      </c>
      <c r="H200" s="19">
        <f t="shared" si="55"/>
        <v>14.7142857142857</v>
      </c>
      <c r="I200" s="36">
        <f t="shared" si="52"/>
        <v>66.9902912621359</v>
      </c>
      <c r="J200" s="19">
        <f>AVERAGE(J193:J199)</f>
        <v>0</v>
      </c>
      <c r="K200" s="19">
        <f>AVERAGE(K193:K199)</f>
        <v>0.142857142857143</v>
      </c>
      <c r="L200" s="36">
        <f t="shared" si="53"/>
        <v>0</v>
      </c>
      <c r="M200" s="19">
        <f>AVERAGE(M193:M199)</f>
        <v>1.28571428571429</v>
      </c>
      <c r="N200" s="19">
        <f>AVERAGE(N193:N199)</f>
        <v>2</v>
      </c>
      <c r="O200" s="36">
        <f t="shared" si="54"/>
        <v>64.2857142857143</v>
      </c>
      <c r="P200" s="19">
        <f>AVERAGE(P193:P199)</f>
        <v>8.85714285714286</v>
      </c>
      <c r="Q200" s="19">
        <f>AVERAGE(Q193:Q199)</f>
        <v>2</v>
      </c>
      <c r="R200" s="19">
        <f>AVERAGE(R193:R199)</f>
        <v>0.571428571428571</v>
      </c>
      <c r="S200" s="20">
        <f>AVERAGE(S193:S199)</f>
        <v>1</v>
      </c>
      <c r="U200" s="61" t="s">
        <v>43</v>
      </c>
    </row>
    <row r="201" spans="1:21">
      <c r="U201" s="61" t="s">
        <v>43</v>
      </c>
    </row>
    <row r="202" spans="1:21">
      <c r="U202" s="61" t="s">
        <v>43</v>
      </c>
    </row>
    <row r="203" spans="1:21">
      <c r="U203" s="61" t="s">
        <v>43</v>
      </c>
    </row>
    <row r="204" spans="1:21">
      <c r="U204" s="61" t="s">
        <v>43</v>
      </c>
    </row>
    <row r="205" spans="1:21">
      <c r="U205" s="61" t="s">
        <v>43</v>
      </c>
    </row>
    <row r="206" ht="28.5" customHeight="1" spans="1:21">
      <c r="A206" s="21" t="s">
        <v>22</v>
      </c>
      <c r="U206" s="61" t="s">
        <v>43</v>
      </c>
    </row>
    <row r="207" ht="22.5" customHeight="1" spans="1:21">
      <c r="A207" s="2" t="s">
        <v>44</v>
      </c>
      <c r="B207" s="22" t="s">
        <v>45</v>
      </c>
      <c r="C207" s="22" t="s">
        <v>46</v>
      </c>
      <c r="D207" s="22" t="s">
        <v>47</v>
      </c>
      <c r="E207" s="22" t="s">
        <v>48</v>
      </c>
      <c r="F207" s="22" t="s">
        <v>49</v>
      </c>
      <c r="G207" s="22" t="s">
        <v>50</v>
      </c>
      <c r="H207" s="22" t="s">
        <v>51</v>
      </c>
      <c r="I207" s="22" t="s">
        <v>52</v>
      </c>
      <c r="J207" s="22" t="s">
        <v>53</v>
      </c>
      <c r="K207" s="22" t="s">
        <v>54</v>
      </c>
      <c r="L207" s="22" t="s">
        <v>55</v>
      </c>
      <c r="M207" s="22" t="s">
        <v>56</v>
      </c>
      <c r="N207" s="22" t="s">
        <v>57</v>
      </c>
      <c r="O207" s="22" t="s">
        <v>58</v>
      </c>
      <c r="P207" s="22" t="s">
        <v>59</v>
      </c>
      <c r="Q207" s="22" t="s">
        <v>60</v>
      </c>
      <c r="R207" s="22" t="s">
        <v>61</v>
      </c>
      <c r="S207" s="23" t="s">
        <v>62</v>
      </c>
      <c r="U207" s="61" t="s">
        <v>43</v>
      </c>
    </row>
    <row r="208" ht="22.5" customHeight="1" spans="1:21">
      <c r="A208" s="5" t="str">
        <f>'g1'!A9</f>
        <v>J.Holiday</v>
      </c>
      <c r="B208" s="24">
        <f>'g1'!B9</f>
        <v>15</v>
      </c>
      <c r="C208" s="25">
        <f>'g1'!C9</f>
        <v>4</v>
      </c>
      <c r="D208" s="25">
        <f>'g1'!D9</f>
        <v>4</v>
      </c>
      <c r="E208" s="25">
        <f>'g1'!E9</f>
        <v>0</v>
      </c>
      <c r="F208" s="25">
        <f>'g1'!F9</f>
        <v>1</v>
      </c>
      <c r="G208" s="25">
        <f>'g1'!G9</f>
        <v>7</v>
      </c>
      <c r="H208" s="25">
        <f>'g1'!H9</f>
        <v>15</v>
      </c>
      <c r="I208" s="26">
        <f t="shared" ref="I208:I215" si="56">IF(H208,G208/H208*100,U206)</f>
        <v>46.6666666666667</v>
      </c>
      <c r="J208" s="25">
        <f>'g1'!I9</f>
        <v>1</v>
      </c>
      <c r="K208" s="25">
        <f>'g1'!J9</f>
        <v>3</v>
      </c>
      <c r="L208" s="26">
        <f t="shared" ref="L208:L215" si="57">IF(K208,J208/K208*100,U206)</f>
        <v>33.3333333333333</v>
      </c>
      <c r="M208" s="25">
        <f>'g1'!K9</f>
        <v>0</v>
      </c>
      <c r="N208" s="25">
        <f>'g1'!L9</f>
        <v>0</v>
      </c>
      <c r="O208" s="64" t="str">
        <f t="shared" ref="O208:O215" si="58">IF(N208,M208/N208*100,U206)</f>
        <v>---</v>
      </c>
      <c r="P208" s="25">
        <f>'g1'!M9</f>
        <v>0</v>
      </c>
      <c r="Q208" s="25">
        <f>'g1'!N9</f>
        <v>2</v>
      </c>
      <c r="R208" s="25">
        <f>'g1'!O9</f>
        <v>2</v>
      </c>
      <c r="S208" s="27">
        <f>'g1'!P9</f>
        <v>1</v>
      </c>
      <c r="U208" s="61" t="s">
        <v>43</v>
      </c>
    </row>
    <row r="209" ht="22.5" customHeight="1" spans="1:21">
      <c r="A209" s="5" t="str">
        <f>'g1'!A36</f>
        <v>J.Holiday</v>
      </c>
      <c r="B209" s="24">
        <f>'g1'!B36</f>
        <v>24</v>
      </c>
      <c r="C209" s="25">
        <f>'g1'!C36</f>
        <v>3</v>
      </c>
      <c r="D209" s="25">
        <f>'g1'!D36</f>
        <v>6</v>
      </c>
      <c r="E209" s="25">
        <f>'g1'!E36</f>
        <v>2</v>
      </c>
      <c r="F209" s="25">
        <f>'g1'!F36</f>
        <v>4</v>
      </c>
      <c r="G209" s="25">
        <f>'g1'!G36</f>
        <v>9</v>
      </c>
      <c r="H209" s="25">
        <f>'g1'!H36</f>
        <v>26</v>
      </c>
      <c r="I209" s="26">
        <f t="shared" si="56"/>
        <v>34.6153846153846</v>
      </c>
      <c r="J209" s="25">
        <f>'g1'!I36</f>
        <v>1</v>
      </c>
      <c r="K209" s="25">
        <f>'g1'!J36</f>
        <v>11</v>
      </c>
      <c r="L209" s="26">
        <f t="shared" si="57"/>
        <v>9.09090909090909</v>
      </c>
      <c r="M209" s="25">
        <f>'g1'!K36</f>
        <v>5</v>
      </c>
      <c r="N209" s="25">
        <f>'g1'!L36</f>
        <v>6</v>
      </c>
      <c r="O209" s="26">
        <f t="shared" si="58"/>
        <v>83.3333333333333</v>
      </c>
      <c r="P209" s="25">
        <f>'g1'!M36</f>
        <v>1</v>
      </c>
      <c r="Q209" s="25">
        <f>'g1'!N36</f>
        <v>2</v>
      </c>
      <c r="R209" s="25">
        <f>'g1'!O36</f>
        <v>3</v>
      </c>
      <c r="S209" s="27">
        <f>'g1'!P36</f>
        <v>-9</v>
      </c>
      <c r="U209" s="61" t="s">
        <v>43</v>
      </c>
    </row>
    <row r="210" ht="22.5" customHeight="1" spans="1:21">
      <c r="A210" s="5" t="str">
        <f>'g1'!A63</f>
        <v>J.Holiday</v>
      </c>
      <c r="B210" s="24">
        <f>'g1'!B63</f>
        <v>27</v>
      </c>
      <c r="C210" s="25">
        <f>'g1'!C63</f>
        <v>3</v>
      </c>
      <c r="D210" s="25">
        <f>'g1'!D63</f>
        <v>4</v>
      </c>
      <c r="E210" s="25">
        <f>'g1'!E63</f>
        <v>0</v>
      </c>
      <c r="F210" s="25">
        <f>'g1'!F63</f>
        <v>1</v>
      </c>
      <c r="G210" s="25">
        <f>'g1'!G63</f>
        <v>11</v>
      </c>
      <c r="H210" s="25">
        <f>'g1'!H63</f>
        <v>23</v>
      </c>
      <c r="I210" s="26">
        <f t="shared" si="56"/>
        <v>47.8260869565217</v>
      </c>
      <c r="J210" s="25">
        <f>'g1'!I63</f>
        <v>1</v>
      </c>
      <c r="K210" s="25">
        <f>'g1'!J63</f>
        <v>7</v>
      </c>
      <c r="L210" s="26">
        <f t="shared" si="57"/>
        <v>14.2857142857143</v>
      </c>
      <c r="M210" s="25">
        <f>'g1'!K63</f>
        <v>4</v>
      </c>
      <c r="N210" s="25">
        <f>'g1'!L63</f>
        <v>4</v>
      </c>
      <c r="O210" s="26">
        <f t="shared" si="58"/>
        <v>100</v>
      </c>
      <c r="P210" s="25">
        <f>'g1'!M63</f>
        <v>1</v>
      </c>
      <c r="Q210" s="25">
        <f>'g1'!N63</f>
        <v>2</v>
      </c>
      <c r="R210" s="25">
        <f>'g1'!O63</f>
        <v>2</v>
      </c>
      <c r="S210" s="27">
        <f>'g1'!P63</f>
        <v>11</v>
      </c>
      <c r="U210" s="61" t="s">
        <v>43</v>
      </c>
    </row>
    <row r="211" ht="22.5" customHeight="1" spans="1:21">
      <c r="A211" s="5" t="str">
        <f>'g1'!A90</f>
        <v>J.Holiday</v>
      </c>
      <c r="B211" s="24">
        <f>'g1'!B90</f>
        <v>23</v>
      </c>
      <c r="C211" s="25">
        <f>'g1'!C90</f>
        <v>4</v>
      </c>
      <c r="D211" s="25">
        <f>'g1'!D90</f>
        <v>5</v>
      </c>
      <c r="E211" s="25">
        <f>'g1'!E90</f>
        <v>0</v>
      </c>
      <c r="F211" s="25">
        <f>'g1'!F90</f>
        <v>3</v>
      </c>
      <c r="G211" s="25">
        <f>'g1'!G90</f>
        <v>9</v>
      </c>
      <c r="H211" s="25">
        <f>'g1'!H90</f>
        <v>13</v>
      </c>
      <c r="I211" s="26">
        <f t="shared" si="56"/>
        <v>69.2307692307692</v>
      </c>
      <c r="J211" s="25">
        <f>'g1'!I90</f>
        <v>3</v>
      </c>
      <c r="K211" s="25">
        <f>'g1'!J90</f>
        <v>4</v>
      </c>
      <c r="L211" s="26">
        <f t="shared" si="57"/>
        <v>75</v>
      </c>
      <c r="M211" s="25">
        <f>'g1'!K90</f>
        <v>2</v>
      </c>
      <c r="N211" s="25">
        <f>'g1'!L90</f>
        <v>2</v>
      </c>
      <c r="O211" s="26">
        <f t="shared" si="58"/>
        <v>100</v>
      </c>
      <c r="P211" s="25">
        <f>'g1'!M90</f>
        <v>2</v>
      </c>
      <c r="Q211" s="25">
        <f>'g1'!N90</f>
        <v>3</v>
      </c>
      <c r="R211" s="25">
        <f>'g1'!O90</f>
        <v>2</v>
      </c>
      <c r="S211" s="27">
        <f>'g1'!P90</f>
        <v>2</v>
      </c>
      <c r="U211" s="61" t="s">
        <v>43</v>
      </c>
    </row>
    <row r="212" ht="22.5" customHeight="1" spans="1:21">
      <c r="A212" s="5" t="str">
        <f>'g1'!A117</f>
        <v>J.Holiday</v>
      </c>
      <c r="B212" s="24">
        <f>'g1'!B117</f>
        <v>17</v>
      </c>
      <c r="C212" s="25">
        <f>'g1'!C117</f>
        <v>4</v>
      </c>
      <c r="D212" s="25">
        <f>'g1'!D117</f>
        <v>3</v>
      </c>
      <c r="E212" s="25">
        <f>'g1'!E117</f>
        <v>1</v>
      </c>
      <c r="F212" s="25">
        <f>'g1'!F117</f>
        <v>1</v>
      </c>
      <c r="G212" s="25">
        <f>'g1'!G117</f>
        <v>6</v>
      </c>
      <c r="H212" s="25">
        <f>'g1'!H117</f>
        <v>12</v>
      </c>
      <c r="I212" s="26">
        <f t="shared" si="56"/>
        <v>50</v>
      </c>
      <c r="J212" s="25">
        <f>'g1'!I117</f>
        <v>3</v>
      </c>
      <c r="K212" s="25">
        <f>'g1'!J117</f>
        <v>4</v>
      </c>
      <c r="L212" s="26">
        <f t="shared" si="57"/>
        <v>75</v>
      </c>
      <c r="M212" s="25">
        <f>'g1'!K117</f>
        <v>2</v>
      </c>
      <c r="N212" s="25">
        <f>'g1'!L117</f>
        <v>2</v>
      </c>
      <c r="O212" s="26">
        <f t="shared" si="58"/>
        <v>100</v>
      </c>
      <c r="P212" s="25">
        <f>'g1'!M117</f>
        <v>0</v>
      </c>
      <c r="Q212" s="25">
        <f>'g1'!N117</f>
        <v>0</v>
      </c>
      <c r="R212" s="25">
        <f>'g1'!O117</f>
        <v>0</v>
      </c>
      <c r="S212" s="27">
        <f>'g1'!P117</f>
        <v>14</v>
      </c>
      <c r="U212" s="61" t="s">
        <v>43</v>
      </c>
    </row>
    <row r="213" ht="22.5" customHeight="1" spans="1:21">
      <c r="A213" s="5" t="str">
        <f>'g1'!A143</f>
        <v>J.Holiday</v>
      </c>
      <c r="B213" s="24">
        <f>'g1'!B143</f>
        <v>22</v>
      </c>
      <c r="C213" s="25">
        <f>'g1'!C143</f>
        <v>3</v>
      </c>
      <c r="D213" s="25">
        <f>'g1'!D143</f>
        <v>2</v>
      </c>
      <c r="E213" s="25">
        <f>'g1'!E143</f>
        <v>1</v>
      </c>
      <c r="F213" s="25">
        <f>'g1'!F143</f>
        <v>2</v>
      </c>
      <c r="G213" s="25">
        <f>'g1'!G143</f>
        <v>8</v>
      </c>
      <c r="H213" s="25">
        <f>'g1'!H143</f>
        <v>13</v>
      </c>
      <c r="I213" s="26">
        <f t="shared" si="56"/>
        <v>61.5384615384615</v>
      </c>
      <c r="J213" s="25">
        <f>'g1'!I143</f>
        <v>4</v>
      </c>
      <c r="K213" s="25">
        <f>'g1'!J143</f>
        <v>6</v>
      </c>
      <c r="L213" s="26">
        <f t="shared" si="57"/>
        <v>66.6666666666667</v>
      </c>
      <c r="M213" s="25">
        <f>'g1'!K143</f>
        <v>2</v>
      </c>
      <c r="N213" s="25">
        <f>'g1'!L143</f>
        <v>2</v>
      </c>
      <c r="O213" s="26">
        <f t="shared" si="58"/>
        <v>100</v>
      </c>
      <c r="P213" s="25">
        <f>'g1'!M143</f>
        <v>0</v>
      </c>
      <c r="Q213" s="25">
        <f>'g1'!N143</f>
        <v>2</v>
      </c>
      <c r="R213" s="25">
        <f>'g1'!O143</f>
        <v>1</v>
      </c>
      <c r="S213" s="27">
        <f>'g1'!P143</f>
        <v>-10</v>
      </c>
      <c r="U213" s="61" t="s">
        <v>43</v>
      </c>
    </row>
    <row r="214" ht="22.5" customHeight="1" spans="1:21">
      <c r="A214" s="5" t="str">
        <f>'g1'!A169</f>
        <v>J.Holiday</v>
      </c>
      <c r="B214" s="24">
        <f>'g1'!B169</f>
        <v>23</v>
      </c>
      <c r="C214" s="25">
        <f>'g1'!C169</f>
        <v>1</v>
      </c>
      <c r="D214" s="25">
        <f>'g1'!D169</f>
        <v>4</v>
      </c>
      <c r="E214" s="25">
        <f>'g1'!E169</f>
        <v>0</v>
      </c>
      <c r="F214" s="25">
        <f>'g1'!F169</f>
        <v>1</v>
      </c>
      <c r="G214" s="25">
        <f>'g1'!G169</f>
        <v>10</v>
      </c>
      <c r="H214" s="25">
        <f>'g1'!H169</f>
        <v>15</v>
      </c>
      <c r="I214" s="26">
        <f t="shared" si="56"/>
        <v>66.6666666666667</v>
      </c>
      <c r="J214" s="25">
        <f>'g1'!I169</f>
        <v>2</v>
      </c>
      <c r="K214" s="25">
        <f>'g1'!J169</f>
        <v>3</v>
      </c>
      <c r="L214" s="26">
        <f t="shared" si="57"/>
        <v>66.6666666666667</v>
      </c>
      <c r="M214" s="25">
        <f>'g1'!K169</f>
        <v>1</v>
      </c>
      <c r="N214" s="25">
        <f>'g1'!L169</f>
        <v>1</v>
      </c>
      <c r="O214" s="26">
        <f t="shared" si="58"/>
        <v>100</v>
      </c>
      <c r="P214" s="25">
        <f>'g1'!M169</f>
        <v>0</v>
      </c>
      <c r="Q214" s="25">
        <f>'g1'!N169</f>
        <v>2</v>
      </c>
      <c r="R214" s="25">
        <f>'g1'!O169</f>
        <v>2</v>
      </c>
      <c r="S214" s="27">
        <f>'g1'!P169</f>
        <v>5</v>
      </c>
      <c r="U214" s="61" t="s">
        <v>43</v>
      </c>
    </row>
    <row r="215" ht="22.5" customHeight="1" spans="1:21">
      <c r="A215" s="17" t="s">
        <v>63</v>
      </c>
      <c r="B215" s="18">
        <f t="shared" ref="B215:H215" si="59">AVERAGE(B208:B214)</f>
        <v>21.5714285714286</v>
      </c>
      <c r="C215" s="19">
        <f t="shared" si="59"/>
        <v>3.14285714285714</v>
      </c>
      <c r="D215" s="19">
        <f t="shared" si="59"/>
        <v>4</v>
      </c>
      <c r="E215" s="19">
        <f t="shared" si="59"/>
        <v>0.571428571428571</v>
      </c>
      <c r="F215" s="19">
        <f t="shared" si="59"/>
        <v>1.85714285714286</v>
      </c>
      <c r="G215" s="19">
        <f t="shared" si="59"/>
        <v>8.57142857142857</v>
      </c>
      <c r="H215" s="19">
        <f t="shared" si="59"/>
        <v>16.7142857142857</v>
      </c>
      <c r="I215" s="36">
        <f t="shared" si="56"/>
        <v>51.2820512820513</v>
      </c>
      <c r="J215" s="19">
        <f>AVERAGE(J208:J214)</f>
        <v>2.14285714285714</v>
      </c>
      <c r="K215" s="19">
        <f>AVERAGE(K208:K214)</f>
        <v>5.42857142857143</v>
      </c>
      <c r="L215" s="36">
        <f t="shared" si="57"/>
        <v>39.4736842105263</v>
      </c>
      <c r="M215" s="19">
        <f>AVERAGE(M208:M214)</f>
        <v>2.28571428571429</v>
      </c>
      <c r="N215" s="19">
        <f>AVERAGE(N208:N214)</f>
        <v>2.42857142857143</v>
      </c>
      <c r="O215" s="36">
        <f t="shared" si="58"/>
        <v>94.1176470588235</v>
      </c>
      <c r="P215" s="19">
        <f>AVERAGE(P208:P214)</f>
        <v>0.571428571428571</v>
      </c>
      <c r="Q215" s="19">
        <f>AVERAGE(Q208:Q214)</f>
        <v>1.85714285714286</v>
      </c>
      <c r="R215" s="19">
        <f>AVERAGE(R208:R214)</f>
        <v>1.71428571428571</v>
      </c>
      <c r="S215" s="20">
        <f>AVERAGE(S208:S214)</f>
        <v>2</v>
      </c>
      <c r="U215" s="61" t="s">
        <v>43</v>
      </c>
    </row>
    <row r="216" spans="1:21">
      <c r="U216" s="61" t="s">
        <v>43</v>
      </c>
    </row>
    <row r="217" spans="1:21">
      <c r="U217" s="61" t="s">
        <v>43</v>
      </c>
    </row>
    <row r="218" spans="1:21">
      <c r="U218" s="61" t="s">
        <v>43</v>
      </c>
    </row>
    <row r="219" spans="1:21">
      <c r="U219" s="61" t="s">
        <v>43</v>
      </c>
    </row>
    <row r="220" spans="1:21">
      <c r="U220" s="61" t="s">
        <v>43</v>
      </c>
    </row>
    <row r="221" ht="28.5" customHeight="1" spans="1:21">
      <c r="A221" s="21" t="s">
        <v>23</v>
      </c>
      <c r="U221" s="61" t="s">
        <v>43</v>
      </c>
    </row>
    <row r="222" ht="22.5" customHeight="1" spans="1:21">
      <c r="A222" s="2" t="s">
        <v>44</v>
      </c>
      <c r="B222" s="22" t="s">
        <v>45</v>
      </c>
      <c r="C222" s="22" t="s">
        <v>46</v>
      </c>
      <c r="D222" s="22" t="s">
        <v>47</v>
      </c>
      <c r="E222" s="22" t="s">
        <v>48</v>
      </c>
      <c r="F222" s="22" t="s">
        <v>49</v>
      </c>
      <c r="G222" s="22" t="s">
        <v>50</v>
      </c>
      <c r="H222" s="22" t="s">
        <v>51</v>
      </c>
      <c r="I222" s="22" t="s">
        <v>52</v>
      </c>
      <c r="J222" s="22" t="s">
        <v>53</v>
      </c>
      <c r="K222" s="22" t="s">
        <v>54</v>
      </c>
      <c r="L222" s="22" t="s">
        <v>55</v>
      </c>
      <c r="M222" s="22" t="s">
        <v>56</v>
      </c>
      <c r="N222" s="22" t="s">
        <v>57</v>
      </c>
      <c r="O222" s="22" t="s">
        <v>58</v>
      </c>
      <c r="P222" s="22" t="s">
        <v>59</v>
      </c>
      <c r="Q222" s="22" t="s">
        <v>60</v>
      </c>
      <c r="R222" s="22" t="s">
        <v>61</v>
      </c>
      <c r="S222" s="23" t="s">
        <v>62</v>
      </c>
      <c r="U222" s="61" t="s">
        <v>43</v>
      </c>
    </row>
    <row r="223" ht="22.5" customHeight="1" spans="1:21">
      <c r="A223" s="5" t="str">
        <f>'g1'!A10</f>
        <v>S.Mcdaniels</v>
      </c>
      <c r="B223" s="24">
        <f>'g1'!B10</f>
        <v>6</v>
      </c>
      <c r="C223" s="25">
        <f>'g1'!C10</f>
        <v>2</v>
      </c>
      <c r="D223" s="25">
        <f>'g1'!D10</f>
        <v>2</v>
      </c>
      <c r="E223" s="25">
        <f>'g1'!E10</f>
        <v>0</v>
      </c>
      <c r="F223" s="25">
        <f>'g1'!F10</f>
        <v>0</v>
      </c>
      <c r="G223" s="25">
        <f>'g1'!G10</f>
        <v>2</v>
      </c>
      <c r="H223" s="25">
        <f>'g1'!H10</f>
        <v>7</v>
      </c>
      <c r="I223" s="26">
        <f t="shared" ref="I223:I230" si="60">IF(H223,G223/H223*100,U221)</f>
        <v>28.5714285714286</v>
      </c>
      <c r="J223" s="25">
        <f>'g1'!I10</f>
        <v>1</v>
      </c>
      <c r="K223" s="25">
        <f>'g1'!J10</f>
        <v>1</v>
      </c>
      <c r="L223" s="26">
        <f t="shared" ref="L223:L230" si="61">IF(K223,J223/K223*100,U221)</f>
        <v>100</v>
      </c>
      <c r="M223" s="25">
        <f>'g1'!K10</f>
        <v>1</v>
      </c>
      <c r="N223" s="25">
        <f>'g1'!L10</f>
        <v>2</v>
      </c>
      <c r="O223" s="26">
        <f t="shared" ref="O223:O230" si="62">IF(N223,M223/N223*100,U221)</f>
        <v>50</v>
      </c>
      <c r="P223" s="25">
        <f>'g1'!M10</f>
        <v>0</v>
      </c>
      <c r="Q223" s="25">
        <f>'g1'!N10</f>
        <v>1</v>
      </c>
      <c r="R223" s="25">
        <f>'g1'!O10</f>
        <v>4</v>
      </c>
      <c r="S223" s="27">
        <f>'g1'!P10</f>
        <v>-14</v>
      </c>
      <c r="U223" s="61" t="s">
        <v>43</v>
      </c>
    </row>
    <row r="224" ht="22.5" customHeight="1" spans="1:21">
      <c r="A224" s="5" t="str">
        <f>'g1'!A37</f>
        <v>S.Mcdaniels</v>
      </c>
      <c r="B224" s="24">
        <f>'g1'!B37</f>
        <v>26</v>
      </c>
      <c r="C224" s="25">
        <f>'g1'!C37</f>
        <v>1</v>
      </c>
      <c r="D224" s="25">
        <f>'g1'!D37</f>
        <v>6</v>
      </c>
      <c r="E224" s="25">
        <f>'g1'!E37</f>
        <v>0</v>
      </c>
      <c r="F224" s="25">
        <f>'g1'!F37</f>
        <v>5</v>
      </c>
      <c r="G224" s="25">
        <f>'g1'!G37</f>
        <v>10</v>
      </c>
      <c r="H224" s="25">
        <f>'g1'!H37</f>
        <v>19</v>
      </c>
      <c r="I224" s="26">
        <f t="shared" si="60"/>
        <v>52.6315789473684</v>
      </c>
      <c r="J224" s="25">
        <f>'g1'!I37</f>
        <v>2</v>
      </c>
      <c r="K224" s="25">
        <f>'g1'!J37</f>
        <v>5</v>
      </c>
      <c r="L224" s="26">
        <f t="shared" si="61"/>
        <v>40</v>
      </c>
      <c r="M224" s="25">
        <f>'g1'!K37</f>
        <v>4</v>
      </c>
      <c r="N224" s="25">
        <f>'g1'!L37</f>
        <v>6</v>
      </c>
      <c r="O224" s="26">
        <f t="shared" si="62"/>
        <v>66.6666666666667</v>
      </c>
      <c r="P224" s="25">
        <f>'g1'!M37</f>
        <v>1</v>
      </c>
      <c r="Q224" s="25">
        <f>'g1'!N37</f>
        <v>6</v>
      </c>
      <c r="R224" s="25">
        <f>'g1'!O37</f>
        <v>5</v>
      </c>
      <c r="S224" s="27">
        <f>'g1'!P37</f>
        <v>-10</v>
      </c>
      <c r="U224" s="61" t="s">
        <v>43</v>
      </c>
    </row>
    <row r="225" ht="22.5" customHeight="1" spans="1:21">
      <c r="A225" s="5" t="str">
        <f>'g1'!A64</f>
        <v>S.Mcdaniels</v>
      </c>
      <c r="B225" s="24">
        <f>'g1'!B64</f>
        <v>9</v>
      </c>
      <c r="C225" s="25">
        <f>'g1'!C64</f>
        <v>2</v>
      </c>
      <c r="D225" s="25">
        <f>'g1'!D64</f>
        <v>4</v>
      </c>
      <c r="E225" s="25">
        <f>'g1'!E64</f>
        <v>0</v>
      </c>
      <c r="F225" s="25">
        <f>'g1'!F64</f>
        <v>0</v>
      </c>
      <c r="G225" s="25">
        <f>'g1'!G64</f>
        <v>4</v>
      </c>
      <c r="H225" s="25">
        <f>'g1'!H64</f>
        <v>8</v>
      </c>
      <c r="I225" s="26">
        <f t="shared" si="60"/>
        <v>50</v>
      </c>
      <c r="J225" s="25">
        <f>'g1'!I64</f>
        <v>1</v>
      </c>
      <c r="K225" s="25">
        <f>'g1'!J64</f>
        <v>2</v>
      </c>
      <c r="L225" s="26">
        <f t="shared" si="61"/>
        <v>50</v>
      </c>
      <c r="M225" s="25">
        <f>'g1'!K64</f>
        <v>0</v>
      </c>
      <c r="N225" s="25">
        <f>'g1'!L64</f>
        <v>0</v>
      </c>
      <c r="O225" s="64" t="str">
        <f t="shared" si="62"/>
        <v>---</v>
      </c>
      <c r="P225" s="25">
        <f>'g1'!M64</f>
        <v>0</v>
      </c>
      <c r="Q225" s="25">
        <f>'g1'!N64</f>
        <v>1</v>
      </c>
      <c r="R225" s="25">
        <f>'g1'!O64</f>
        <v>2</v>
      </c>
      <c r="S225" s="27">
        <f>'g1'!P64</f>
        <v>10</v>
      </c>
      <c r="U225" s="61" t="s">
        <v>43</v>
      </c>
    </row>
    <row r="226" ht="22.5" customHeight="1" spans="1:21">
      <c r="A226" s="5" t="str">
        <f>'g1'!A91</f>
        <v>S.Mcdaniels</v>
      </c>
      <c r="B226" s="24">
        <f>'g1'!B91</f>
        <v>0</v>
      </c>
      <c r="C226" s="25">
        <f>'g1'!C91</f>
        <v>2</v>
      </c>
      <c r="D226" s="25">
        <f>'g1'!D91</f>
        <v>3</v>
      </c>
      <c r="E226" s="25">
        <f>'g1'!E91</f>
        <v>0</v>
      </c>
      <c r="F226" s="25">
        <f>'g1'!F91</f>
        <v>0</v>
      </c>
      <c r="G226" s="25">
        <f>'g1'!G91</f>
        <v>0</v>
      </c>
      <c r="H226" s="25">
        <f>'g1'!H91</f>
        <v>3</v>
      </c>
      <c r="I226" s="26">
        <f t="shared" si="60"/>
        <v>0</v>
      </c>
      <c r="J226" s="25">
        <f>'g1'!I91</f>
        <v>0</v>
      </c>
      <c r="K226" s="25">
        <f>'g1'!J91</f>
        <v>1</v>
      </c>
      <c r="L226" s="26">
        <f t="shared" si="61"/>
        <v>0</v>
      </c>
      <c r="M226" s="25">
        <f>'g1'!K91</f>
        <v>0</v>
      </c>
      <c r="N226" s="25">
        <f>'g1'!L91</f>
        <v>0</v>
      </c>
      <c r="O226" s="64" t="str">
        <f t="shared" si="62"/>
        <v>---</v>
      </c>
      <c r="P226" s="25">
        <f>'g1'!M91</f>
        <v>0</v>
      </c>
      <c r="Q226" s="25">
        <f>'g1'!N91</f>
        <v>1</v>
      </c>
      <c r="R226" s="25">
        <f>'g1'!O91</f>
        <v>0</v>
      </c>
      <c r="S226" s="27">
        <f>'g1'!P91</f>
        <v>-7</v>
      </c>
      <c r="U226" s="61" t="s">
        <v>43</v>
      </c>
    </row>
    <row r="227" ht="22.5" customHeight="1" spans="1:21">
      <c r="A227" s="5" t="str">
        <f>'g1'!A118</f>
        <v>S.Mcdaniels</v>
      </c>
      <c r="B227" s="24">
        <f>'g1'!B118</f>
        <v>25</v>
      </c>
      <c r="C227" s="25">
        <f>'g1'!C118</f>
        <v>2</v>
      </c>
      <c r="D227" s="25">
        <f>'g1'!D118</f>
        <v>2</v>
      </c>
      <c r="E227" s="25">
        <f>'g1'!E118</f>
        <v>0</v>
      </c>
      <c r="F227" s="25">
        <f>'g1'!F118</f>
        <v>1</v>
      </c>
      <c r="G227" s="25">
        <f>'g1'!G118</f>
        <v>9</v>
      </c>
      <c r="H227" s="25">
        <f>'g1'!H118</f>
        <v>11</v>
      </c>
      <c r="I227" s="26">
        <f t="shared" si="60"/>
        <v>81.8181818181818</v>
      </c>
      <c r="J227" s="25">
        <f>'g1'!I118</f>
        <v>2</v>
      </c>
      <c r="K227" s="25">
        <f>'g1'!J118</f>
        <v>2</v>
      </c>
      <c r="L227" s="26">
        <f t="shared" si="61"/>
        <v>100</v>
      </c>
      <c r="M227" s="25">
        <f>'g1'!K118</f>
        <v>5</v>
      </c>
      <c r="N227" s="25">
        <f>'g1'!L118</f>
        <v>6</v>
      </c>
      <c r="O227" s="26">
        <f t="shared" si="62"/>
        <v>83.3333333333333</v>
      </c>
      <c r="P227" s="25">
        <f>'g1'!M118</f>
        <v>0</v>
      </c>
      <c r="Q227" s="25">
        <f>'g1'!N118</f>
        <v>1</v>
      </c>
      <c r="R227" s="25">
        <f>'g1'!O118</f>
        <v>0</v>
      </c>
      <c r="S227" s="27">
        <f>'g1'!P118</f>
        <v>12</v>
      </c>
      <c r="U227" s="61" t="s">
        <v>43</v>
      </c>
    </row>
    <row r="228" ht="22.5" customHeight="1" spans="1:21">
      <c r="A228" s="5" t="str">
        <f>'g1'!A144</f>
        <v>S.Mcdaniels</v>
      </c>
      <c r="B228" s="24">
        <f>'g1'!B144</f>
        <v>0</v>
      </c>
      <c r="C228" s="25">
        <f>'g1'!C144</f>
        <v>3</v>
      </c>
      <c r="D228" s="25">
        <f>'g1'!D144</f>
        <v>7</v>
      </c>
      <c r="E228" s="25">
        <f>'g1'!E144</f>
        <v>0</v>
      </c>
      <c r="F228" s="25">
        <f>'g1'!F144</f>
        <v>0</v>
      </c>
      <c r="G228" s="25">
        <f>'g1'!G144</f>
        <v>0</v>
      </c>
      <c r="H228" s="25">
        <f>'g1'!H144</f>
        <v>3</v>
      </c>
      <c r="I228" s="26">
        <f t="shared" si="60"/>
        <v>0</v>
      </c>
      <c r="J228" s="25">
        <f>'g1'!I144</f>
        <v>0</v>
      </c>
      <c r="K228" s="25">
        <f>'g1'!J144</f>
        <v>1</v>
      </c>
      <c r="L228" s="26">
        <f t="shared" si="61"/>
        <v>0</v>
      </c>
      <c r="M228" s="25">
        <f>'g1'!K144</f>
        <v>0</v>
      </c>
      <c r="N228" s="25">
        <f>'g1'!L144</f>
        <v>0</v>
      </c>
      <c r="O228" s="64" t="str">
        <f t="shared" si="62"/>
        <v>---</v>
      </c>
      <c r="P228" s="25">
        <f>'g1'!M144</f>
        <v>1</v>
      </c>
      <c r="Q228" s="25">
        <f>'g1'!N144</f>
        <v>1</v>
      </c>
      <c r="R228" s="25">
        <f>'g1'!O144</f>
        <v>0</v>
      </c>
      <c r="S228" s="27">
        <f>'g1'!P144</f>
        <v>4</v>
      </c>
      <c r="U228" s="61" t="s">
        <v>43</v>
      </c>
    </row>
    <row r="229" ht="22.5" customHeight="1" spans="1:21">
      <c r="A229" s="5" t="str">
        <f>'g1'!A170</f>
        <v>S.Mcdaniels</v>
      </c>
      <c r="B229" s="24">
        <f>'g1'!B170</f>
        <v>4</v>
      </c>
      <c r="C229" s="25">
        <f>'g1'!C170</f>
        <v>1</v>
      </c>
      <c r="D229" s="25">
        <f>'g1'!D170</f>
        <v>3</v>
      </c>
      <c r="E229" s="25">
        <f>'g1'!E170</f>
        <v>0</v>
      </c>
      <c r="F229" s="25">
        <f>'g1'!F170</f>
        <v>0</v>
      </c>
      <c r="G229" s="25">
        <f>'g1'!G170</f>
        <v>2</v>
      </c>
      <c r="H229" s="25">
        <f>'g1'!H170</f>
        <v>4</v>
      </c>
      <c r="I229" s="26">
        <f t="shared" si="60"/>
        <v>50</v>
      </c>
      <c r="J229" s="25">
        <f>'g1'!I170</f>
        <v>0</v>
      </c>
      <c r="K229" s="25">
        <f>'g1'!J170</f>
        <v>2</v>
      </c>
      <c r="L229" s="26">
        <f t="shared" si="61"/>
        <v>0</v>
      </c>
      <c r="M229" s="25">
        <f>'g1'!K170</f>
        <v>0</v>
      </c>
      <c r="N229" s="25">
        <f>'g1'!L170</f>
        <v>0</v>
      </c>
      <c r="O229" s="64" t="str">
        <f t="shared" si="62"/>
        <v>---</v>
      </c>
      <c r="P229" s="25">
        <f>'g1'!M170</f>
        <v>0</v>
      </c>
      <c r="Q229" s="25">
        <f>'g1'!N170</f>
        <v>0</v>
      </c>
      <c r="R229" s="25">
        <f>'g1'!O170</f>
        <v>0</v>
      </c>
      <c r="S229" s="27">
        <f>'g1'!P170</f>
        <v>10</v>
      </c>
      <c r="U229" s="61" t="s">
        <v>43</v>
      </c>
    </row>
    <row r="230" ht="22.5" customHeight="1" spans="1:21">
      <c r="A230" s="17" t="s">
        <v>63</v>
      </c>
      <c r="B230" s="18">
        <f t="shared" ref="B230:H230" si="63">AVERAGE(B223:B229)</f>
        <v>10</v>
      </c>
      <c r="C230" s="19">
        <f t="shared" si="63"/>
        <v>1.85714285714286</v>
      </c>
      <c r="D230" s="19">
        <f t="shared" si="63"/>
        <v>3.85714285714286</v>
      </c>
      <c r="E230" s="19">
        <f t="shared" si="63"/>
        <v>0</v>
      </c>
      <c r="F230" s="19">
        <f t="shared" si="63"/>
        <v>0.857142857142857</v>
      </c>
      <c r="G230" s="19">
        <f t="shared" si="63"/>
        <v>3.85714285714286</v>
      </c>
      <c r="H230" s="19">
        <f t="shared" si="63"/>
        <v>7.85714285714286</v>
      </c>
      <c r="I230" s="36">
        <f t="shared" si="60"/>
        <v>49.0909090909091</v>
      </c>
      <c r="J230" s="19">
        <f>AVERAGE(J223:J229)</f>
        <v>0.857142857142857</v>
      </c>
      <c r="K230" s="19">
        <f>AVERAGE(K223:K229)</f>
        <v>2</v>
      </c>
      <c r="L230" s="36">
        <f t="shared" si="61"/>
        <v>42.8571428571429</v>
      </c>
      <c r="M230" s="19">
        <f>AVERAGE(M223:M229)</f>
        <v>1.42857142857143</v>
      </c>
      <c r="N230" s="19">
        <f>AVERAGE(N223:N229)</f>
        <v>2</v>
      </c>
      <c r="O230" s="36">
        <f t="shared" si="62"/>
        <v>71.4285714285714</v>
      </c>
      <c r="P230" s="19">
        <f>AVERAGE(P223:P229)</f>
        <v>0.285714285714286</v>
      </c>
      <c r="Q230" s="19">
        <f>AVERAGE(Q223:Q229)</f>
        <v>1.57142857142857</v>
      </c>
      <c r="R230" s="19">
        <f>AVERAGE(R223:R229)</f>
        <v>1.57142857142857</v>
      </c>
      <c r="S230" s="20">
        <f>AVERAGE(S223:S229)</f>
        <v>0.714285714285714</v>
      </c>
      <c r="U230" s="61" t="s">
        <v>43</v>
      </c>
    </row>
    <row r="231" spans="1:21">
      <c r="U231" s="61" t="s">
        <v>43</v>
      </c>
    </row>
    <row r="232" spans="1:21">
      <c r="U232" s="61" t="s">
        <v>43</v>
      </c>
    </row>
    <row r="233" spans="1:21">
      <c r="U233" s="61" t="s">
        <v>43</v>
      </c>
    </row>
    <row r="234" spans="1:21">
      <c r="U234" s="61" t="s">
        <v>43</v>
      </c>
    </row>
    <row r="235" spans="1:21">
      <c r="U235" s="61" t="s">
        <v>43</v>
      </c>
    </row>
    <row r="236" ht="28.5" customHeight="1" spans="1:21">
      <c r="A236" s="21" t="s">
        <v>24</v>
      </c>
      <c r="U236" s="61" t="s">
        <v>43</v>
      </c>
    </row>
    <row r="237" ht="22.5" customHeight="1" spans="1:21">
      <c r="A237" s="2" t="s">
        <v>44</v>
      </c>
      <c r="B237" s="22" t="s">
        <v>45</v>
      </c>
      <c r="C237" s="22" t="s">
        <v>46</v>
      </c>
      <c r="D237" s="22" t="s">
        <v>47</v>
      </c>
      <c r="E237" s="22" t="s">
        <v>48</v>
      </c>
      <c r="F237" s="22" t="s">
        <v>49</v>
      </c>
      <c r="G237" s="22" t="s">
        <v>50</v>
      </c>
      <c r="H237" s="22" t="s">
        <v>51</v>
      </c>
      <c r="I237" s="22" t="s">
        <v>52</v>
      </c>
      <c r="J237" s="22" t="s">
        <v>53</v>
      </c>
      <c r="K237" s="22" t="s">
        <v>54</v>
      </c>
      <c r="L237" s="22" t="s">
        <v>55</v>
      </c>
      <c r="M237" s="22" t="s">
        <v>56</v>
      </c>
      <c r="N237" s="22" t="s">
        <v>57</v>
      </c>
      <c r="O237" s="22" t="s">
        <v>58</v>
      </c>
      <c r="P237" s="22" t="s">
        <v>59</v>
      </c>
      <c r="Q237" s="22" t="s">
        <v>60</v>
      </c>
      <c r="R237" s="22" t="s">
        <v>61</v>
      </c>
      <c r="S237" s="23" t="s">
        <v>62</v>
      </c>
      <c r="U237" s="61" t="s">
        <v>43</v>
      </c>
    </row>
    <row r="238" ht="22.5" customHeight="1" spans="1:21">
      <c r="A238" s="5" t="str">
        <f>'g1'!A11</f>
        <v>J.Hart</v>
      </c>
      <c r="B238" s="24">
        <f>'g1'!B11</f>
        <v>6</v>
      </c>
      <c r="C238" s="25">
        <f>'g1'!C11</f>
        <v>0</v>
      </c>
      <c r="D238" s="25">
        <f>'g1'!D11</f>
        <v>0</v>
      </c>
      <c r="E238" s="25">
        <f>'g1'!E11</f>
        <v>1</v>
      </c>
      <c r="F238" s="25">
        <f>'g1'!F11</f>
        <v>2</v>
      </c>
      <c r="G238" s="25">
        <f>'g1'!G11</f>
        <v>3</v>
      </c>
      <c r="H238" s="25">
        <f>'g1'!H11</f>
        <v>8</v>
      </c>
      <c r="I238" s="26">
        <f t="shared" ref="I238:I245" si="64">IF(H238,G238/H238*100,U236)</f>
        <v>37.5</v>
      </c>
      <c r="J238" s="25">
        <f>'g1'!I11</f>
        <v>0</v>
      </c>
      <c r="K238" s="25">
        <f>'g1'!J11</f>
        <v>2</v>
      </c>
      <c r="L238" s="26">
        <f t="shared" ref="L238:L245" si="65">IF(K238,J238/K238*100,U236)</f>
        <v>0</v>
      </c>
      <c r="M238" s="25">
        <f>'g1'!K11</f>
        <v>0</v>
      </c>
      <c r="N238" s="25">
        <f>'g1'!L11</f>
        <v>0</v>
      </c>
      <c r="O238" s="64" t="str">
        <f t="shared" ref="O238:O245" si="66">IF(N238,M238/N238*100,U236)</f>
        <v>---</v>
      </c>
      <c r="P238" s="25">
        <f>'g1'!M11</f>
        <v>0</v>
      </c>
      <c r="Q238" s="25">
        <f>'g1'!N11</f>
        <v>0</v>
      </c>
      <c r="R238" s="25">
        <f>'g1'!O11</f>
        <v>2</v>
      </c>
      <c r="S238" s="27">
        <f>'g1'!P11</f>
        <v>-7</v>
      </c>
      <c r="U238" s="61" t="s">
        <v>43</v>
      </c>
    </row>
    <row r="239" ht="22.5" customHeight="1" spans="1:21">
      <c r="A239" s="5" t="str">
        <f>'g1'!A38</f>
        <v>J.Hart</v>
      </c>
      <c r="B239" s="24">
        <f>'g1'!B38</f>
        <v>18</v>
      </c>
      <c r="C239" s="25">
        <f>'g1'!C38</f>
        <v>2</v>
      </c>
      <c r="D239" s="25">
        <f>'g1'!D38</f>
        <v>2</v>
      </c>
      <c r="E239" s="25">
        <f>'g1'!E38</f>
        <v>0</v>
      </c>
      <c r="F239" s="25">
        <f>'g1'!F38</f>
        <v>1</v>
      </c>
      <c r="G239" s="25">
        <f>'g1'!G38</f>
        <v>6</v>
      </c>
      <c r="H239" s="25">
        <f>'g1'!H38</f>
        <v>11</v>
      </c>
      <c r="I239" s="26">
        <f t="shared" si="64"/>
        <v>54.5454545454545</v>
      </c>
      <c r="J239" s="25">
        <f>'g1'!I38</f>
        <v>2</v>
      </c>
      <c r="K239" s="25">
        <f>'g1'!J38</f>
        <v>5</v>
      </c>
      <c r="L239" s="26">
        <f t="shared" si="65"/>
        <v>40</v>
      </c>
      <c r="M239" s="25">
        <f>'g1'!K38</f>
        <v>4</v>
      </c>
      <c r="N239" s="25">
        <f>'g1'!L38</f>
        <v>4</v>
      </c>
      <c r="O239" s="26">
        <f t="shared" si="66"/>
        <v>100</v>
      </c>
      <c r="P239" s="25">
        <f>'g1'!M38</f>
        <v>1</v>
      </c>
      <c r="Q239" s="25">
        <f>'g1'!N38</f>
        <v>4</v>
      </c>
      <c r="R239" s="25">
        <f>'g1'!O38</f>
        <v>1</v>
      </c>
      <c r="S239" s="27">
        <f>'g1'!P38</f>
        <v>0</v>
      </c>
      <c r="U239" s="61" t="s">
        <v>43</v>
      </c>
    </row>
    <row r="240" ht="22.5" customHeight="1" spans="1:21">
      <c r="A240" s="5" t="str">
        <f>'g1'!A65</f>
        <v>J.Hart</v>
      </c>
      <c r="B240" s="24">
        <f>'g1'!B65</f>
        <v>4</v>
      </c>
      <c r="C240" s="25">
        <f>'g1'!C65</f>
        <v>3</v>
      </c>
      <c r="D240" s="25">
        <f>'g1'!D65</f>
        <v>2</v>
      </c>
      <c r="E240" s="25">
        <f>'g1'!E65</f>
        <v>1</v>
      </c>
      <c r="F240" s="25">
        <f>'g1'!F65</f>
        <v>0</v>
      </c>
      <c r="G240" s="25">
        <f>'g1'!G65</f>
        <v>2</v>
      </c>
      <c r="H240" s="25">
        <f>'g1'!H65</f>
        <v>5</v>
      </c>
      <c r="I240" s="26">
        <f t="shared" si="64"/>
        <v>40</v>
      </c>
      <c r="J240" s="25">
        <f>'g1'!I65</f>
        <v>0</v>
      </c>
      <c r="K240" s="25">
        <f>'g1'!J65</f>
        <v>0</v>
      </c>
      <c r="L240" s="64" t="str">
        <f t="shared" si="65"/>
        <v>---</v>
      </c>
      <c r="M240" s="25">
        <f>'g1'!K65</f>
        <v>0</v>
      </c>
      <c r="N240" s="25">
        <f>'g1'!L65</f>
        <v>0</v>
      </c>
      <c r="O240" s="64" t="str">
        <f t="shared" si="66"/>
        <v>---</v>
      </c>
      <c r="P240" s="25">
        <f>'g1'!M65</f>
        <v>0</v>
      </c>
      <c r="Q240" s="25">
        <f>'g1'!N65</f>
        <v>0</v>
      </c>
      <c r="R240" s="25">
        <f>'g1'!O65</f>
        <v>0</v>
      </c>
      <c r="S240" s="27">
        <f>'g1'!P65</f>
        <v>-2</v>
      </c>
      <c r="U240" s="61" t="s">
        <v>43</v>
      </c>
    </row>
    <row r="241" ht="22.5" customHeight="1" spans="1:21">
      <c r="A241" s="5" t="str">
        <f>'g1'!A92</f>
        <v>J.Hart</v>
      </c>
      <c r="B241" s="24">
        <f>'g1'!B92</f>
        <v>0</v>
      </c>
      <c r="C241" s="25">
        <f>'g1'!C92</f>
        <v>1</v>
      </c>
      <c r="D241" s="25">
        <f>'g1'!D92</f>
        <v>0</v>
      </c>
      <c r="E241" s="25">
        <f>'g1'!E92</f>
        <v>0</v>
      </c>
      <c r="F241" s="25">
        <f>'g1'!F92</f>
        <v>0</v>
      </c>
      <c r="G241" s="25">
        <f>'g1'!G92</f>
        <v>0</v>
      </c>
      <c r="H241" s="25">
        <f>'g1'!H92</f>
        <v>2</v>
      </c>
      <c r="I241" s="26">
        <f t="shared" si="64"/>
        <v>0</v>
      </c>
      <c r="J241" s="25">
        <f>'g1'!I92</f>
        <v>0</v>
      </c>
      <c r="K241" s="25">
        <f>'g1'!J92</f>
        <v>1</v>
      </c>
      <c r="L241" s="26">
        <f t="shared" si="65"/>
        <v>0</v>
      </c>
      <c r="M241" s="25">
        <f>'g1'!K92</f>
        <v>0</v>
      </c>
      <c r="N241" s="25">
        <f>'g1'!L92</f>
        <v>0</v>
      </c>
      <c r="O241" s="64" t="str">
        <f t="shared" si="66"/>
        <v>---</v>
      </c>
      <c r="P241" s="25">
        <f>'g1'!M92</f>
        <v>1</v>
      </c>
      <c r="Q241" s="25">
        <f>'g1'!N92</f>
        <v>1</v>
      </c>
      <c r="R241" s="25">
        <f>'g1'!O92</f>
        <v>0</v>
      </c>
      <c r="S241" s="27">
        <f>'g1'!P92</f>
        <v>-7</v>
      </c>
      <c r="U241" s="61" t="s">
        <v>43</v>
      </c>
    </row>
    <row r="242" ht="22.5" customHeight="1" spans="1:21">
      <c r="A242" s="5" t="str">
        <f>'g1'!A119</f>
        <v>J.Hart</v>
      </c>
      <c r="B242" s="24">
        <f>'g1'!B119</f>
        <v>6</v>
      </c>
      <c r="C242" s="25">
        <f>'g1'!C119</f>
        <v>0</v>
      </c>
      <c r="D242" s="25">
        <f>'g1'!D119</f>
        <v>4</v>
      </c>
      <c r="E242" s="25">
        <f>'g1'!E119</f>
        <v>0</v>
      </c>
      <c r="F242" s="25">
        <f>'g1'!F119</f>
        <v>0</v>
      </c>
      <c r="G242" s="25">
        <f>'g1'!G119</f>
        <v>2</v>
      </c>
      <c r="H242" s="25">
        <f>'g1'!H119</f>
        <v>5</v>
      </c>
      <c r="I242" s="26">
        <f t="shared" si="64"/>
        <v>40</v>
      </c>
      <c r="J242" s="25">
        <f>'g1'!I119</f>
        <v>0</v>
      </c>
      <c r="K242" s="25">
        <f>'g1'!J119</f>
        <v>1</v>
      </c>
      <c r="L242" s="26">
        <f t="shared" si="65"/>
        <v>0</v>
      </c>
      <c r="M242" s="25">
        <f>'g1'!K119</f>
        <v>2</v>
      </c>
      <c r="N242" s="25">
        <f>'g1'!L119</f>
        <v>2</v>
      </c>
      <c r="O242" s="26">
        <f t="shared" si="66"/>
        <v>100</v>
      </c>
      <c r="P242" s="25">
        <f>'g1'!M119</f>
        <v>0</v>
      </c>
      <c r="Q242" s="25">
        <f>'g1'!N119</f>
        <v>2</v>
      </c>
      <c r="R242" s="25">
        <f>'g1'!O119</f>
        <v>1</v>
      </c>
      <c r="S242" s="27">
        <f>'g1'!P119</f>
        <v>12</v>
      </c>
      <c r="U242" s="61" t="s">
        <v>43</v>
      </c>
    </row>
    <row r="243" ht="22.5" customHeight="1" spans="1:21">
      <c r="A243" s="5" t="str">
        <f>'g1'!A145</f>
        <v>J.Hart</v>
      </c>
      <c r="B243" s="24">
        <f>'g1'!B145</f>
        <v>7</v>
      </c>
      <c r="C243" s="25">
        <f>'g1'!C145</f>
        <v>2</v>
      </c>
      <c r="D243" s="25">
        <f>'g1'!D145</f>
        <v>0</v>
      </c>
      <c r="E243" s="25">
        <f>'g1'!E145</f>
        <v>0</v>
      </c>
      <c r="F243" s="25">
        <f>'g1'!F145</f>
        <v>0</v>
      </c>
      <c r="G243" s="25">
        <f>'g1'!G145</f>
        <v>3</v>
      </c>
      <c r="H243" s="25">
        <f>'g1'!H145</f>
        <v>5</v>
      </c>
      <c r="I243" s="26">
        <f t="shared" si="64"/>
        <v>60</v>
      </c>
      <c r="J243" s="25">
        <f>'g1'!I145</f>
        <v>1</v>
      </c>
      <c r="K243" s="25">
        <f>'g1'!J145</f>
        <v>3</v>
      </c>
      <c r="L243" s="26">
        <f t="shared" si="65"/>
        <v>33.3333333333333</v>
      </c>
      <c r="M243" s="25">
        <f>'g1'!K145</f>
        <v>0</v>
      </c>
      <c r="N243" s="25">
        <f>'g1'!L145</f>
        <v>0</v>
      </c>
      <c r="O243" s="64" t="str">
        <f t="shared" si="66"/>
        <v>---</v>
      </c>
      <c r="P243" s="25">
        <f>'g1'!M145</f>
        <v>0</v>
      </c>
      <c r="Q243" s="25">
        <f>'g1'!N145</f>
        <v>0</v>
      </c>
      <c r="R243" s="25">
        <f>'g1'!O145</f>
        <v>1</v>
      </c>
      <c r="S243" s="27">
        <f>'g1'!P145</f>
        <v>4</v>
      </c>
      <c r="U243" s="61" t="s">
        <v>43</v>
      </c>
    </row>
    <row r="244" ht="22.5" customHeight="1" spans="1:21">
      <c r="A244" s="5" t="str">
        <f>'g1'!A171</f>
        <v>J.Hart</v>
      </c>
      <c r="B244" s="24">
        <f>'g1'!B171</f>
        <v>9</v>
      </c>
      <c r="C244" s="25">
        <f>'g1'!C171</f>
        <v>0</v>
      </c>
      <c r="D244" s="25">
        <f>'g1'!D171</f>
        <v>1</v>
      </c>
      <c r="E244" s="25">
        <f>'g1'!E171</f>
        <v>0</v>
      </c>
      <c r="F244" s="25">
        <f>'g1'!F171</f>
        <v>0</v>
      </c>
      <c r="G244" s="25">
        <f>'g1'!G171</f>
        <v>4</v>
      </c>
      <c r="H244" s="25">
        <f>'g1'!H171</f>
        <v>6</v>
      </c>
      <c r="I244" s="26">
        <f t="shared" si="64"/>
        <v>66.6666666666667</v>
      </c>
      <c r="J244" s="25">
        <f>'g1'!I171</f>
        <v>1</v>
      </c>
      <c r="K244" s="25">
        <f>'g1'!J171</f>
        <v>2</v>
      </c>
      <c r="L244" s="26">
        <f t="shared" si="65"/>
        <v>50</v>
      </c>
      <c r="M244" s="25">
        <f>'g1'!K171</f>
        <v>0</v>
      </c>
      <c r="N244" s="25">
        <f>'g1'!L171</f>
        <v>0</v>
      </c>
      <c r="O244" s="64" t="str">
        <f t="shared" si="66"/>
        <v>---</v>
      </c>
      <c r="P244" s="25">
        <f>'g1'!M171</f>
        <v>0</v>
      </c>
      <c r="Q244" s="25">
        <f>'g1'!N171</f>
        <v>2</v>
      </c>
      <c r="R244" s="25">
        <f>'g1'!O171</f>
        <v>0</v>
      </c>
      <c r="S244" s="27">
        <f>'g1'!P171</f>
        <v>11</v>
      </c>
      <c r="U244" s="61" t="s">
        <v>43</v>
      </c>
    </row>
    <row r="245" ht="22.5" customHeight="1" spans="1:21">
      <c r="A245" s="17" t="s">
        <v>63</v>
      </c>
      <c r="B245" s="18">
        <f t="shared" ref="B245:H245" si="67">AVERAGE(B238:B244)</f>
        <v>7.14285714285714</v>
      </c>
      <c r="C245" s="19">
        <f t="shared" si="67"/>
        <v>1.14285714285714</v>
      </c>
      <c r="D245" s="19">
        <f t="shared" si="67"/>
        <v>1.28571428571429</v>
      </c>
      <c r="E245" s="19">
        <f t="shared" si="67"/>
        <v>0.285714285714286</v>
      </c>
      <c r="F245" s="19">
        <f t="shared" si="67"/>
        <v>0.428571428571429</v>
      </c>
      <c r="G245" s="19">
        <f t="shared" si="67"/>
        <v>2.85714285714286</v>
      </c>
      <c r="H245" s="19">
        <f t="shared" si="67"/>
        <v>6</v>
      </c>
      <c r="I245" s="36">
        <f t="shared" si="64"/>
        <v>47.6190476190476</v>
      </c>
      <c r="J245" s="19">
        <f>AVERAGE(J238:J244)</f>
        <v>0.571428571428571</v>
      </c>
      <c r="K245" s="19">
        <f>AVERAGE(K238:K244)</f>
        <v>2</v>
      </c>
      <c r="L245" s="36">
        <f t="shared" si="65"/>
        <v>28.5714285714286</v>
      </c>
      <c r="M245" s="19">
        <f>AVERAGE(M238:M244)</f>
        <v>0.857142857142857</v>
      </c>
      <c r="N245" s="19">
        <f>AVERAGE(N238:N244)</f>
        <v>0.857142857142857</v>
      </c>
      <c r="O245" s="36">
        <f t="shared" si="66"/>
        <v>100</v>
      </c>
      <c r="P245" s="19">
        <f>AVERAGE(P238:P244)</f>
        <v>0.285714285714286</v>
      </c>
      <c r="Q245" s="19">
        <f>AVERAGE(Q238:Q244)</f>
        <v>1.28571428571429</v>
      </c>
      <c r="R245" s="19">
        <f>AVERAGE(R238:R244)</f>
        <v>0.714285714285714</v>
      </c>
      <c r="S245" s="20">
        <f>AVERAGE(S238:S244)</f>
        <v>1.57142857142857</v>
      </c>
      <c r="U245" s="61" t="s">
        <v>43</v>
      </c>
    </row>
    <row r="246" spans="1:21">
      <c r="U246" s="61" t="s">
        <v>43</v>
      </c>
    </row>
    <row r="247" spans="1:21">
      <c r="U247" s="61" t="s">
        <v>43</v>
      </c>
    </row>
    <row r="248" spans="1:21">
      <c r="U248" s="61" t="s">
        <v>43</v>
      </c>
    </row>
    <row r="249" spans="1:21">
      <c r="U249" s="61" t="s">
        <v>43</v>
      </c>
    </row>
    <row r="250" spans="1:21">
      <c r="U250" s="61" t="s">
        <v>43</v>
      </c>
    </row>
    <row r="251" ht="28.5" customHeight="1" spans="1:21">
      <c r="A251" s="21" t="s">
        <v>25</v>
      </c>
      <c r="U251" s="61" t="s">
        <v>43</v>
      </c>
    </row>
    <row r="252" ht="22.5" customHeight="1" spans="1:21">
      <c r="A252" s="2" t="s">
        <v>44</v>
      </c>
      <c r="B252" s="22" t="s">
        <v>45</v>
      </c>
      <c r="C252" s="22" t="s">
        <v>46</v>
      </c>
      <c r="D252" s="22" t="s">
        <v>47</v>
      </c>
      <c r="E252" s="22" t="s">
        <v>48</v>
      </c>
      <c r="F252" s="22" t="s">
        <v>49</v>
      </c>
      <c r="G252" s="22" t="s">
        <v>50</v>
      </c>
      <c r="H252" s="22" t="s">
        <v>51</v>
      </c>
      <c r="I252" s="22" t="s">
        <v>52</v>
      </c>
      <c r="J252" s="22" t="s">
        <v>53</v>
      </c>
      <c r="K252" s="22" t="s">
        <v>54</v>
      </c>
      <c r="L252" s="22" t="s">
        <v>55</v>
      </c>
      <c r="M252" s="22" t="s">
        <v>56</v>
      </c>
      <c r="N252" s="22" t="s">
        <v>57</v>
      </c>
      <c r="O252" s="22" t="s">
        <v>58</v>
      </c>
      <c r="P252" s="22" t="s">
        <v>59</v>
      </c>
      <c r="Q252" s="22" t="s">
        <v>60</v>
      </c>
      <c r="R252" s="22" t="s">
        <v>61</v>
      </c>
      <c r="S252" s="23" t="s">
        <v>62</v>
      </c>
      <c r="U252" s="61" t="s">
        <v>43</v>
      </c>
    </row>
    <row r="253" ht="22.5" customHeight="1" spans="1:21">
      <c r="A253" s="5" t="str">
        <f>'g1'!A12</f>
        <v>D.Gallinari</v>
      </c>
      <c r="B253" s="24">
        <f>'g1'!B12</f>
        <v>4</v>
      </c>
      <c r="C253" s="25">
        <f>'g1'!C12</f>
        <v>2</v>
      </c>
      <c r="D253" s="25">
        <f>'g1'!D12</f>
        <v>1</v>
      </c>
      <c r="E253" s="25">
        <f>'g1'!E12</f>
        <v>1</v>
      </c>
      <c r="F253" s="25">
        <f>'g1'!F12</f>
        <v>3</v>
      </c>
      <c r="G253" s="25">
        <f>'g1'!G12</f>
        <v>1</v>
      </c>
      <c r="H253" s="25">
        <f>'g1'!H12</f>
        <v>3</v>
      </c>
      <c r="I253" s="26">
        <f t="shared" ref="I253:I260" si="68">IF(H253,G253/H253*100,U251)</f>
        <v>33.3333333333333</v>
      </c>
      <c r="J253" s="25">
        <f>'g1'!I12</f>
        <v>1</v>
      </c>
      <c r="K253" s="25">
        <f>'g1'!J12</f>
        <v>2</v>
      </c>
      <c r="L253" s="26">
        <f t="shared" ref="L253:L260" si="69">IF(K253,J253/K253*100,U251)</f>
        <v>50</v>
      </c>
      <c r="M253" s="25">
        <f>'g1'!K12</f>
        <v>1</v>
      </c>
      <c r="N253" s="25">
        <f>'g1'!L12</f>
        <v>1</v>
      </c>
      <c r="O253" s="26">
        <f t="shared" ref="O253:O260" si="70">IF(N253,M253/N253*100,U251)</f>
        <v>100</v>
      </c>
      <c r="P253" s="25">
        <f>'g1'!M12</f>
        <v>0</v>
      </c>
      <c r="Q253" s="25">
        <f>'g1'!N12</f>
        <v>1</v>
      </c>
      <c r="R253" s="25">
        <f>'g1'!O12</f>
        <v>0</v>
      </c>
      <c r="S253" s="27">
        <f>'g1'!P12</f>
        <v>2</v>
      </c>
      <c r="U253" s="61" t="s">
        <v>43</v>
      </c>
    </row>
    <row r="254" ht="22.5" customHeight="1" spans="1:21">
      <c r="A254" s="5" t="str">
        <f>'g1'!A39</f>
        <v>D.Gallinari</v>
      </c>
      <c r="B254" s="24">
        <f>'g1'!B39</f>
        <v>3</v>
      </c>
      <c r="C254" s="25">
        <f>'g1'!C39</f>
        <v>1</v>
      </c>
      <c r="D254" s="25">
        <f>'g1'!D39</f>
        <v>0</v>
      </c>
      <c r="E254" s="25">
        <f>'g1'!E39</f>
        <v>0</v>
      </c>
      <c r="F254" s="25">
        <f>'g1'!F39</f>
        <v>1</v>
      </c>
      <c r="G254" s="25">
        <f>'g1'!G39</f>
        <v>1</v>
      </c>
      <c r="H254" s="25">
        <f>'g1'!H39</f>
        <v>2</v>
      </c>
      <c r="I254" s="26">
        <f t="shared" si="68"/>
        <v>50</v>
      </c>
      <c r="J254" s="25">
        <f>'g1'!I39</f>
        <v>1</v>
      </c>
      <c r="K254" s="25">
        <f>'g1'!J39</f>
        <v>2</v>
      </c>
      <c r="L254" s="26">
        <f t="shared" si="69"/>
        <v>50</v>
      </c>
      <c r="M254" s="25">
        <f>'g1'!K39</f>
        <v>0</v>
      </c>
      <c r="N254" s="25">
        <f>'g1'!L39</f>
        <v>0</v>
      </c>
      <c r="O254" s="64" t="str">
        <f t="shared" si="70"/>
        <v>---</v>
      </c>
      <c r="P254" s="25">
        <f>'g1'!M39</f>
        <v>0</v>
      </c>
      <c r="Q254" s="25">
        <f>'g1'!N39</f>
        <v>2</v>
      </c>
      <c r="R254" s="25">
        <f>'g1'!O39</f>
        <v>1</v>
      </c>
      <c r="S254" s="27">
        <f>'g1'!P39</f>
        <v>-10</v>
      </c>
      <c r="U254" s="61" t="s">
        <v>43</v>
      </c>
    </row>
    <row r="255" ht="22.5" customHeight="1" spans="1:21">
      <c r="A255" s="5" t="str">
        <f>'g1'!A66</f>
        <v>D.Gallinari</v>
      </c>
      <c r="B255" s="24">
        <f>'g1'!B66</f>
        <v>8</v>
      </c>
      <c r="C255" s="25">
        <f>'g1'!C66</f>
        <v>3</v>
      </c>
      <c r="D255" s="25">
        <f>'g1'!D66</f>
        <v>1</v>
      </c>
      <c r="E255" s="25">
        <f>'g1'!E66</f>
        <v>2</v>
      </c>
      <c r="F255" s="25">
        <f>'g1'!F66</f>
        <v>0</v>
      </c>
      <c r="G255" s="25">
        <f>'g1'!G66</f>
        <v>3</v>
      </c>
      <c r="H255" s="25">
        <f>'g1'!H66</f>
        <v>6</v>
      </c>
      <c r="I255" s="26">
        <f t="shared" si="68"/>
        <v>50</v>
      </c>
      <c r="J255" s="25">
        <f>'g1'!I66</f>
        <v>2</v>
      </c>
      <c r="K255" s="25">
        <f>'g1'!J66</f>
        <v>2</v>
      </c>
      <c r="L255" s="26">
        <f t="shared" si="69"/>
        <v>100</v>
      </c>
      <c r="M255" s="25">
        <f>'g1'!K66</f>
        <v>0</v>
      </c>
      <c r="N255" s="25">
        <f>'g1'!L66</f>
        <v>0</v>
      </c>
      <c r="O255" s="64" t="str">
        <f t="shared" si="70"/>
        <v>---</v>
      </c>
      <c r="P255" s="25">
        <f>'g1'!M66</f>
        <v>1</v>
      </c>
      <c r="Q255" s="25">
        <f>'g1'!N66</f>
        <v>2</v>
      </c>
      <c r="R255" s="25">
        <f>'g1'!O66</f>
        <v>0</v>
      </c>
      <c r="S255" s="27">
        <f>'g1'!P66</f>
        <v>-5</v>
      </c>
      <c r="U255" s="61" t="s">
        <v>43</v>
      </c>
    </row>
    <row r="256" ht="22.5" customHeight="1" spans="1:21">
      <c r="A256" s="5" t="str">
        <f>'g1'!A93</f>
        <v>D.Gallinari</v>
      </c>
      <c r="B256" s="24">
        <f>'g1'!B93</f>
        <v>0</v>
      </c>
      <c r="C256" s="25">
        <f>'g1'!C93</f>
        <v>2</v>
      </c>
      <c r="D256" s="25">
        <f>'g1'!D93</f>
        <v>1</v>
      </c>
      <c r="E256" s="25">
        <f>'g1'!E93</f>
        <v>0</v>
      </c>
      <c r="F256" s="25">
        <f>'g1'!F93</f>
        <v>0</v>
      </c>
      <c r="G256" s="25">
        <f>'g1'!G93</f>
        <v>0</v>
      </c>
      <c r="H256" s="25">
        <f>'g1'!H93</f>
        <v>5</v>
      </c>
      <c r="I256" s="26">
        <f t="shared" si="68"/>
        <v>0</v>
      </c>
      <c r="J256" s="25">
        <f>'g1'!I93</f>
        <v>0</v>
      </c>
      <c r="K256" s="25">
        <f>'g1'!J93</f>
        <v>4</v>
      </c>
      <c r="L256" s="26">
        <f t="shared" si="69"/>
        <v>0</v>
      </c>
      <c r="M256" s="25">
        <f>'g1'!K93</f>
        <v>0</v>
      </c>
      <c r="N256" s="25">
        <f>'g1'!L93</f>
        <v>0</v>
      </c>
      <c r="O256" s="64" t="str">
        <f t="shared" si="70"/>
        <v>---</v>
      </c>
      <c r="P256" s="25">
        <f>'g1'!M93</f>
        <v>1</v>
      </c>
      <c r="Q256" s="25">
        <f>'g1'!N93</f>
        <v>1</v>
      </c>
      <c r="R256" s="25">
        <f>'g1'!O93</f>
        <v>0</v>
      </c>
      <c r="S256" s="27">
        <f>'g1'!P93</f>
        <v>-5</v>
      </c>
      <c r="U256" s="61" t="s">
        <v>43</v>
      </c>
    </row>
    <row r="257" ht="22.5" customHeight="1" spans="1:21">
      <c r="A257" s="5" t="str">
        <f>'g1'!A120</f>
        <v>D.Gallinari</v>
      </c>
      <c r="B257" s="24">
        <f>'g1'!B120</f>
        <v>9</v>
      </c>
      <c r="C257" s="25">
        <f>'g1'!C120</f>
        <v>4</v>
      </c>
      <c r="D257" s="25">
        <f>'g1'!D120</f>
        <v>4</v>
      </c>
      <c r="E257" s="25">
        <f>'g1'!E120</f>
        <v>3</v>
      </c>
      <c r="F257" s="25">
        <f>'g1'!F120</f>
        <v>2</v>
      </c>
      <c r="G257" s="25">
        <f>'g1'!G120</f>
        <v>4</v>
      </c>
      <c r="H257" s="25">
        <f>'g1'!H120</f>
        <v>9</v>
      </c>
      <c r="I257" s="26">
        <f t="shared" si="68"/>
        <v>44.4444444444444</v>
      </c>
      <c r="J257" s="25">
        <f>'g1'!I120</f>
        <v>1</v>
      </c>
      <c r="K257" s="25">
        <f>'g1'!J120</f>
        <v>3</v>
      </c>
      <c r="L257" s="26">
        <f t="shared" si="69"/>
        <v>33.3333333333333</v>
      </c>
      <c r="M257" s="25">
        <f>'g1'!K120</f>
        <v>0</v>
      </c>
      <c r="N257" s="25">
        <f>'g1'!L120</f>
        <v>0</v>
      </c>
      <c r="O257" s="64" t="str">
        <f t="shared" si="70"/>
        <v>---</v>
      </c>
      <c r="P257" s="25">
        <f>'g1'!M120</f>
        <v>2</v>
      </c>
      <c r="Q257" s="25">
        <f>'g1'!N120</f>
        <v>2</v>
      </c>
      <c r="R257" s="25">
        <f>'g1'!O120</f>
        <v>0</v>
      </c>
      <c r="S257" s="27">
        <f>'g1'!P120</f>
        <v>10</v>
      </c>
      <c r="U257" s="61" t="s">
        <v>43</v>
      </c>
    </row>
    <row r="258" ht="22.5" customHeight="1" spans="1:21">
      <c r="A258" s="5" t="str">
        <f>'g1'!A146</f>
        <v>D.Gallinari</v>
      </c>
      <c r="B258" s="24">
        <f>'g1'!B146</f>
        <v>0</v>
      </c>
      <c r="C258" s="25">
        <f>'g1'!C146</f>
        <v>2</v>
      </c>
      <c r="D258" s="25">
        <f>'g1'!D146</f>
        <v>0</v>
      </c>
      <c r="E258" s="25">
        <f>'g1'!E146</f>
        <v>0</v>
      </c>
      <c r="F258" s="25">
        <f>'g1'!F146</f>
        <v>0</v>
      </c>
      <c r="G258" s="25">
        <f>'g1'!G146</f>
        <v>0</v>
      </c>
      <c r="H258" s="25">
        <f>'g1'!H146</f>
        <v>1</v>
      </c>
      <c r="I258" s="26">
        <f t="shared" si="68"/>
        <v>0</v>
      </c>
      <c r="J258" s="25">
        <f>'g1'!I146</f>
        <v>0</v>
      </c>
      <c r="K258" s="25">
        <f>'g1'!J146</f>
        <v>1</v>
      </c>
      <c r="L258" s="26">
        <f t="shared" si="69"/>
        <v>0</v>
      </c>
      <c r="M258" s="25">
        <f>'g1'!K146</f>
        <v>0</v>
      </c>
      <c r="N258" s="25">
        <f>'g1'!L146</f>
        <v>0</v>
      </c>
      <c r="O258" s="64" t="str">
        <f t="shared" si="70"/>
        <v>---</v>
      </c>
      <c r="P258" s="25">
        <f>'g1'!M146</f>
        <v>0</v>
      </c>
      <c r="Q258" s="25">
        <f>'g1'!N146</f>
        <v>0</v>
      </c>
      <c r="R258" s="25">
        <f>'g1'!O146</f>
        <v>0</v>
      </c>
      <c r="S258" s="27">
        <f>'g1'!P146</f>
        <v>5</v>
      </c>
      <c r="U258" s="61" t="s">
        <v>43</v>
      </c>
    </row>
    <row r="259" ht="22.5" customHeight="1" spans="1:21">
      <c r="A259" s="5" t="str">
        <f>'g1'!A172</f>
        <v>D.Gallinari</v>
      </c>
      <c r="B259" s="24">
        <f>'g1'!B172</f>
        <v>10</v>
      </c>
      <c r="C259" s="25">
        <f>'g1'!C172</f>
        <v>3</v>
      </c>
      <c r="D259" s="25">
        <f>'g1'!D172</f>
        <v>1</v>
      </c>
      <c r="E259" s="25">
        <f>'g1'!E172</f>
        <v>0</v>
      </c>
      <c r="F259" s="25">
        <f>'g1'!F172</f>
        <v>1</v>
      </c>
      <c r="G259" s="25">
        <f>'g1'!G172</f>
        <v>4</v>
      </c>
      <c r="H259" s="25">
        <f>'g1'!H172</f>
        <v>7</v>
      </c>
      <c r="I259" s="26">
        <f t="shared" si="68"/>
        <v>57.1428571428571</v>
      </c>
      <c r="J259" s="25">
        <f>'g1'!I172</f>
        <v>2</v>
      </c>
      <c r="K259" s="25">
        <f>'g1'!J172</f>
        <v>4</v>
      </c>
      <c r="L259" s="26">
        <f t="shared" si="69"/>
        <v>50</v>
      </c>
      <c r="M259" s="25">
        <f>'g1'!K172</f>
        <v>0</v>
      </c>
      <c r="N259" s="25">
        <f>'g1'!L172</f>
        <v>0</v>
      </c>
      <c r="O259" s="64" t="str">
        <f t="shared" si="70"/>
        <v>---</v>
      </c>
      <c r="P259" s="25">
        <f>'g1'!M172</f>
        <v>1</v>
      </c>
      <c r="Q259" s="25">
        <f>'g1'!N172</f>
        <v>0</v>
      </c>
      <c r="R259" s="25">
        <f>'g1'!O172</f>
        <v>0</v>
      </c>
      <c r="S259" s="27">
        <f>'g1'!P172</f>
        <v>4</v>
      </c>
      <c r="U259" s="61" t="s">
        <v>43</v>
      </c>
    </row>
    <row r="260" ht="22.5" customHeight="1" spans="1:21">
      <c r="A260" s="17" t="s">
        <v>63</v>
      </c>
      <c r="B260" s="18">
        <f t="shared" ref="B260:H260" si="71">AVERAGE(B253:B259)</f>
        <v>4.85714285714286</v>
      </c>
      <c r="C260" s="19">
        <f t="shared" si="71"/>
        <v>2.42857142857143</v>
      </c>
      <c r="D260" s="19">
        <f t="shared" si="71"/>
        <v>1.14285714285714</v>
      </c>
      <c r="E260" s="19">
        <f t="shared" si="71"/>
        <v>0.857142857142857</v>
      </c>
      <c r="F260" s="19">
        <f t="shared" si="71"/>
        <v>1</v>
      </c>
      <c r="G260" s="19">
        <f t="shared" si="71"/>
        <v>1.85714285714286</v>
      </c>
      <c r="H260" s="19">
        <f t="shared" si="71"/>
        <v>4.71428571428571</v>
      </c>
      <c r="I260" s="36">
        <f t="shared" si="68"/>
        <v>39.3939393939394</v>
      </c>
      <c r="J260" s="19">
        <f>AVERAGE(J253:J259)</f>
        <v>1</v>
      </c>
      <c r="K260" s="19">
        <f>AVERAGE(K253:K259)</f>
        <v>2.57142857142857</v>
      </c>
      <c r="L260" s="36">
        <f t="shared" si="69"/>
        <v>38.8888888888889</v>
      </c>
      <c r="M260" s="19">
        <f>AVERAGE(M253:M259)</f>
        <v>0.142857142857143</v>
      </c>
      <c r="N260" s="19">
        <f>AVERAGE(N253:N259)</f>
        <v>0.142857142857143</v>
      </c>
      <c r="O260" s="36">
        <f t="shared" si="70"/>
        <v>100</v>
      </c>
      <c r="P260" s="19">
        <f>AVERAGE(P253:P259)</f>
        <v>0.714285714285714</v>
      </c>
      <c r="Q260" s="19">
        <f>AVERAGE(Q253:Q259)</f>
        <v>1.14285714285714</v>
      </c>
      <c r="R260" s="19">
        <f>AVERAGE(R253:R259)</f>
        <v>0.142857142857143</v>
      </c>
      <c r="S260" s="20">
        <f>AVERAGE(S253:S259)</f>
        <v>0.142857142857143</v>
      </c>
      <c r="U260" s="61" t="s">
        <v>43</v>
      </c>
    </row>
    <row r="261" spans="1:21">
      <c r="U261" s="61" t="s">
        <v>43</v>
      </c>
    </row>
    <row r="262" spans="1:21">
      <c r="U262" s="61" t="s">
        <v>43</v>
      </c>
    </row>
    <row r="263" spans="1:21">
      <c r="U263" s="61" t="s">
        <v>43</v>
      </c>
    </row>
    <row r="264" spans="1:21">
      <c r="U264" s="61" t="s">
        <v>43</v>
      </c>
    </row>
    <row r="265" spans="1:21">
      <c r="U265" s="61" t="s">
        <v>43</v>
      </c>
    </row>
    <row r="266" ht="28.5" customHeight="1" spans="1:21">
      <c r="A266" s="21" t="s">
        <v>64</v>
      </c>
      <c r="U266" s="61" t="s">
        <v>43</v>
      </c>
    </row>
    <row r="267" ht="22.5" customHeight="1" spans="1:21">
      <c r="A267" s="2" t="s">
        <v>44</v>
      </c>
      <c r="B267" s="22" t="s">
        <v>45</v>
      </c>
      <c r="C267" s="22" t="s">
        <v>46</v>
      </c>
      <c r="D267" s="22" t="s">
        <v>47</v>
      </c>
      <c r="E267" s="22" t="s">
        <v>48</v>
      </c>
      <c r="F267" s="22" t="s">
        <v>49</v>
      </c>
      <c r="G267" s="22" t="s">
        <v>50</v>
      </c>
      <c r="H267" s="22" t="s">
        <v>51</v>
      </c>
      <c r="I267" s="22" t="s">
        <v>52</v>
      </c>
      <c r="J267" s="22" t="s">
        <v>53</v>
      </c>
      <c r="K267" s="22" t="s">
        <v>54</v>
      </c>
      <c r="L267" s="22" t="s">
        <v>55</v>
      </c>
      <c r="M267" s="22" t="s">
        <v>56</v>
      </c>
      <c r="N267" s="22" t="s">
        <v>57</v>
      </c>
      <c r="O267" s="22" t="s">
        <v>58</v>
      </c>
      <c r="P267" s="22" t="s">
        <v>59</v>
      </c>
      <c r="Q267" s="22" t="s">
        <v>60</v>
      </c>
      <c r="R267" s="22" t="s">
        <v>61</v>
      </c>
      <c r="S267" s="23" t="s">
        <v>62</v>
      </c>
      <c r="U267" s="61" t="s">
        <v>43</v>
      </c>
    </row>
    <row r="268" ht="22.5" customHeight="1" spans="1:21">
      <c r="A268" s="5" t="str">
        <f>'g1'!A25</f>
        <v>CLE</v>
      </c>
      <c r="B268" s="24">
        <f>'g1'!B25</f>
        <v>139</v>
      </c>
      <c r="C268" s="25">
        <f>'g1'!C25</f>
        <v>44</v>
      </c>
      <c r="D268" s="25">
        <f>'g1'!D25</f>
        <v>39</v>
      </c>
      <c r="E268" s="25">
        <f>'g1'!E25</f>
        <v>13</v>
      </c>
      <c r="F268" s="25">
        <f>'g1'!F25</f>
        <v>6</v>
      </c>
      <c r="G268" s="25">
        <f>'g1'!G25</f>
        <v>49</v>
      </c>
      <c r="H268" s="25">
        <f>'g1'!H25</f>
        <v>87</v>
      </c>
      <c r="I268" s="26">
        <f t="shared" ref="I268:I275" si="72">IF(H268,G268/H268*100,U266)</f>
        <v>56.3218390804598</v>
      </c>
      <c r="J268" s="25">
        <f>'g1'!I25</f>
        <v>5</v>
      </c>
      <c r="K268" s="25">
        <f>'g1'!J25</f>
        <v>13</v>
      </c>
      <c r="L268" s="26">
        <f t="shared" ref="L268:L275" si="73">IF(K268,J268/K268*100,U266)</f>
        <v>38.4615384615385</v>
      </c>
      <c r="M268" s="25">
        <f>'g1'!K25</f>
        <v>36</v>
      </c>
      <c r="N268" s="25">
        <f>'g1'!L25</f>
        <v>39</v>
      </c>
      <c r="O268" s="26">
        <f t="shared" ref="O268:O275" si="74">IF(N268,M268/N268*100,U266)</f>
        <v>92.3076923076923</v>
      </c>
      <c r="P268" s="25">
        <f>'g1'!M25</f>
        <v>5</v>
      </c>
      <c r="Q268" s="25">
        <f>'g1'!N25</f>
        <v>22</v>
      </c>
      <c r="R268" s="25">
        <f>'g1'!O25</f>
        <v>12</v>
      </c>
      <c r="S268" s="27">
        <f t="shared" ref="S268:S274" si="75">B268-B283</f>
        <v>11</v>
      </c>
      <c r="U268" s="61" t="s">
        <v>43</v>
      </c>
    </row>
    <row r="269" ht="22.5" customHeight="1" spans="1:21">
      <c r="A269" s="5" t="str">
        <f>'g1'!A52</f>
        <v>CLE</v>
      </c>
      <c r="B269" s="24">
        <f>'g1'!B52</f>
        <v>197</v>
      </c>
      <c r="C269" s="25">
        <f>'g1'!C52</f>
        <v>68</v>
      </c>
      <c r="D269" s="25">
        <f>'g1'!D52</f>
        <v>46</v>
      </c>
      <c r="E269" s="25">
        <f>'g1'!E52</f>
        <v>25</v>
      </c>
      <c r="F269" s="25">
        <f>'g1'!F52</f>
        <v>12</v>
      </c>
      <c r="G269" s="25">
        <f>'g1'!G52</f>
        <v>71</v>
      </c>
      <c r="H269" s="25">
        <f>'g1'!H52</f>
        <v>134</v>
      </c>
      <c r="I269" s="26">
        <f t="shared" si="72"/>
        <v>52.9850746268657</v>
      </c>
      <c r="J269" s="25">
        <f>'g1'!I52</f>
        <v>3</v>
      </c>
      <c r="K269" s="25">
        <f>'g1'!J52</f>
        <v>9</v>
      </c>
      <c r="L269" s="26">
        <f t="shared" si="73"/>
        <v>33.3333333333333</v>
      </c>
      <c r="M269" s="25">
        <f>'g1'!K52</f>
        <v>52</v>
      </c>
      <c r="N269" s="25">
        <f>'g1'!L52</f>
        <v>61</v>
      </c>
      <c r="O269" s="26">
        <f t="shared" si="74"/>
        <v>85.2459016393443</v>
      </c>
      <c r="P269" s="25">
        <f>'g1'!M52</f>
        <v>19</v>
      </c>
      <c r="Q269" s="25">
        <f>'g1'!N52</f>
        <v>32</v>
      </c>
      <c r="R269" s="25">
        <f>'g1'!O52</f>
        <v>23</v>
      </c>
      <c r="S269" s="27">
        <f t="shared" si="75"/>
        <v>4</v>
      </c>
      <c r="U269" s="61" t="s">
        <v>43</v>
      </c>
    </row>
    <row r="270" ht="22.5" customHeight="1" spans="1:21">
      <c r="A270" s="5" t="str">
        <f>'g1'!A79</f>
        <v>CLE</v>
      </c>
      <c r="B270" s="24">
        <f>'g1'!B79</f>
        <v>181</v>
      </c>
      <c r="C270" s="25">
        <f>'g1'!C79</f>
        <v>60</v>
      </c>
      <c r="D270" s="25">
        <f>'g1'!D79</f>
        <v>29</v>
      </c>
      <c r="E270" s="25">
        <f>'g1'!E79</f>
        <v>19</v>
      </c>
      <c r="F270" s="25">
        <f>'g1'!F79</f>
        <v>10</v>
      </c>
      <c r="G270" s="25">
        <f>'g1'!G79</f>
        <v>65</v>
      </c>
      <c r="H270" s="25">
        <f>'g1'!H79</f>
        <v>133</v>
      </c>
      <c r="I270" s="26">
        <f t="shared" si="72"/>
        <v>48.8721804511278</v>
      </c>
      <c r="J270" s="25">
        <f>'g1'!I79</f>
        <v>8</v>
      </c>
      <c r="K270" s="25">
        <f>'g1'!J79</f>
        <v>14</v>
      </c>
      <c r="L270" s="26">
        <f t="shared" si="73"/>
        <v>57.1428571428571</v>
      </c>
      <c r="M270" s="25">
        <f>'g1'!K79</f>
        <v>43</v>
      </c>
      <c r="N270" s="25">
        <f>'g1'!L79</f>
        <v>50</v>
      </c>
      <c r="O270" s="26">
        <f t="shared" si="74"/>
        <v>86</v>
      </c>
      <c r="P270" s="25">
        <f>'g1'!M79</f>
        <v>13</v>
      </c>
      <c r="Q270" s="25">
        <f>'g1'!N79</f>
        <v>28</v>
      </c>
      <c r="R270" s="25">
        <f>'g1'!O79</f>
        <v>18</v>
      </c>
      <c r="S270" s="27">
        <f t="shared" si="75"/>
        <v>-10</v>
      </c>
      <c r="U270" s="61" t="s">
        <v>43</v>
      </c>
    </row>
    <row r="271" ht="22.5" customHeight="1" spans="1:21">
      <c r="A271" s="5" t="str">
        <f>'g1'!A106</f>
        <v>CLE</v>
      </c>
      <c r="B271" s="24">
        <f>'g1'!B106</f>
        <v>149</v>
      </c>
      <c r="C271" s="25">
        <f>'g1'!C106</f>
        <v>37</v>
      </c>
      <c r="D271" s="25">
        <f>'g1'!D106</f>
        <v>42</v>
      </c>
      <c r="E271" s="25">
        <f>'g1'!E106</f>
        <v>13</v>
      </c>
      <c r="F271" s="25">
        <f>'g1'!F106</f>
        <v>5</v>
      </c>
      <c r="G271" s="25">
        <f>'g1'!G106</f>
        <v>54</v>
      </c>
      <c r="H271" s="25">
        <f>'g1'!H106</f>
        <v>98</v>
      </c>
      <c r="I271" s="26">
        <f t="shared" si="72"/>
        <v>55.1020408163265</v>
      </c>
      <c r="J271" s="25">
        <f>'g1'!I106</f>
        <v>8</v>
      </c>
      <c r="K271" s="25">
        <f>'g1'!J106</f>
        <v>17</v>
      </c>
      <c r="L271" s="26">
        <f t="shared" si="73"/>
        <v>47.0588235294118</v>
      </c>
      <c r="M271" s="25">
        <f>'g1'!K106</f>
        <v>33</v>
      </c>
      <c r="N271" s="25">
        <f>'g1'!L106</f>
        <v>37</v>
      </c>
      <c r="O271" s="26">
        <f t="shared" si="74"/>
        <v>89.1891891891892</v>
      </c>
      <c r="P271" s="25">
        <f>'g1'!M106</f>
        <v>7</v>
      </c>
      <c r="Q271" s="25">
        <f>'g1'!N106</f>
        <v>23</v>
      </c>
      <c r="R271" s="25">
        <f>'g1'!O106</f>
        <v>21</v>
      </c>
      <c r="S271" s="27">
        <f t="shared" si="75"/>
        <v>-9</v>
      </c>
      <c r="U271" s="61" t="s">
        <v>43</v>
      </c>
    </row>
    <row r="272" ht="22.5" customHeight="1" spans="1:21">
      <c r="A272" s="5" t="str">
        <f>'g1'!A133</f>
        <v>CLE</v>
      </c>
      <c r="B272" s="24">
        <f>'g1'!B133</f>
        <v>111</v>
      </c>
      <c r="C272" s="25">
        <f>'g1'!C133</f>
        <v>34</v>
      </c>
      <c r="D272" s="25">
        <f>'g1'!D133</f>
        <v>17</v>
      </c>
      <c r="E272" s="25">
        <f>'g1'!E133</f>
        <v>9</v>
      </c>
      <c r="F272" s="25">
        <f>'g1'!F133</f>
        <v>2</v>
      </c>
      <c r="G272" s="25">
        <f>'g1'!G133</f>
        <v>38</v>
      </c>
      <c r="H272" s="25">
        <f>'g1'!H133</f>
        <v>95</v>
      </c>
      <c r="I272" s="26">
        <f t="shared" si="72"/>
        <v>40</v>
      </c>
      <c r="J272" s="25">
        <f>'g1'!I133</f>
        <v>6</v>
      </c>
      <c r="K272" s="25">
        <f>'g1'!J133</f>
        <v>14</v>
      </c>
      <c r="L272" s="26">
        <f t="shared" si="73"/>
        <v>42.8571428571429</v>
      </c>
      <c r="M272" s="25">
        <f>'g1'!K133</f>
        <v>29</v>
      </c>
      <c r="N272" s="25">
        <f>'g1'!L133</f>
        <v>37</v>
      </c>
      <c r="O272" s="26">
        <f t="shared" si="74"/>
        <v>78.3783783783784</v>
      </c>
      <c r="P272" s="25">
        <f>'g1'!M133</f>
        <v>5</v>
      </c>
      <c r="Q272" s="25">
        <f>'g1'!N133</f>
        <v>19</v>
      </c>
      <c r="R272" s="25">
        <f>'g1'!O133</f>
        <v>12</v>
      </c>
      <c r="S272" s="27">
        <f t="shared" si="75"/>
        <v>-25</v>
      </c>
      <c r="U272" s="61" t="s">
        <v>43</v>
      </c>
    </row>
    <row r="273" ht="22.5" customHeight="1" spans="1:21">
      <c r="A273" s="5" t="str">
        <f>'g1'!A159</f>
        <v>CLE</v>
      </c>
      <c r="B273" s="24">
        <f>'g1'!B159</f>
        <v>155</v>
      </c>
      <c r="C273" s="25">
        <f>'g1'!C159</f>
        <v>51</v>
      </c>
      <c r="D273" s="25">
        <f>'g1'!D159</f>
        <v>33</v>
      </c>
      <c r="E273" s="25">
        <f>'g1'!E159</f>
        <v>20</v>
      </c>
      <c r="F273" s="25">
        <f>'g1'!F159</f>
        <v>7</v>
      </c>
      <c r="G273" s="25">
        <f>'g1'!G159</f>
        <v>56</v>
      </c>
      <c r="H273" s="25">
        <f>'g1'!H159</f>
        <v>97</v>
      </c>
      <c r="I273" s="26">
        <f t="shared" si="72"/>
        <v>57.7319587628866</v>
      </c>
      <c r="J273" s="25">
        <f>'g1'!I159</f>
        <v>9</v>
      </c>
      <c r="K273" s="25">
        <f>'g1'!J159</f>
        <v>15</v>
      </c>
      <c r="L273" s="26">
        <f t="shared" si="73"/>
        <v>60</v>
      </c>
      <c r="M273" s="25">
        <f>'g1'!K159</f>
        <v>34</v>
      </c>
      <c r="N273" s="25">
        <f>'g1'!L159</f>
        <v>46</v>
      </c>
      <c r="O273" s="26">
        <f t="shared" si="74"/>
        <v>73.9130434782609</v>
      </c>
      <c r="P273" s="25">
        <f>'g1'!M159</f>
        <v>8</v>
      </c>
      <c r="Q273" s="25">
        <f>'g1'!N159</f>
        <v>16</v>
      </c>
      <c r="R273" s="25">
        <f>'g1'!O159</f>
        <v>15</v>
      </c>
      <c r="S273" s="27">
        <f t="shared" si="75"/>
        <v>16</v>
      </c>
      <c r="U273" s="61" t="s">
        <v>43</v>
      </c>
    </row>
    <row r="274" ht="22.5" customHeight="1" spans="1:21">
      <c r="A274" s="5" t="str">
        <f>'g1'!A185</f>
        <v>CLE</v>
      </c>
      <c r="B274" s="24">
        <f>'g1'!B185</f>
        <v>158</v>
      </c>
      <c r="C274" s="25">
        <f>'g1'!C185</f>
        <v>44</v>
      </c>
      <c r="D274" s="25">
        <f>'g1'!D185</f>
        <v>36</v>
      </c>
      <c r="E274" s="25">
        <f>'g1'!E185</f>
        <v>15</v>
      </c>
      <c r="F274" s="25">
        <f>'g1'!F185</f>
        <v>5</v>
      </c>
      <c r="G274" s="25">
        <f>'g1'!G185</f>
        <v>58</v>
      </c>
      <c r="H274" s="25">
        <f>'g1'!H185</f>
        <v>105</v>
      </c>
      <c r="I274" s="26">
        <f t="shared" si="72"/>
        <v>55.2380952380952</v>
      </c>
      <c r="J274" s="25">
        <f>'g1'!I185</f>
        <v>13</v>
      </c>
      <c r="K274" s="25">
        <f>'g1'!J185</f>
        <v>25</v>
      </c>
      <c r="L274" s="26">
        <f t="shared" si="73"/>
        <v>52</v>
      </c>
      <c r="M274" s="25">
        <f>'g1'!K185</f>
        <v>29</v>
      </c>
      <c r="N274" s="25">
        <f>'g1'!L185</f>
        <v>38</v>
      </c>
      <c r="O274" s="26">
        <f t="shared" si="74"/>
        <v>76.3157894736842</v>
      </c>
      <c r="P274" s="25">
        <f>'g1'!M185</f>
        <v>8</v>
      </c>
      <c r="Q274" s="25">
        <f>'g1'!N185</f>
        <v>18</v>
      </c>
      <c r="R274" s="25">
        <f>'g1'!O185</f>
        <v>11</v>
      </c>
      <c r="S274" s="27">
        <f t="shared" si="75"/>
        <v>1</v>
      </c>
      <c r="U274" s="61" t="s">
        <v>43</v>
      </c>
    </row>
    <row r="275" ht="22.5" customHeight="1" spans="1:21">
      <c r="A275" s="17" t="s">
        <v>63</v>
      </c>
      <c r="B275" s="18">
        <f t="shared" ref="B275:H275" si="76">AVERAGE(B268:B274)</f>
        <v>155.714285714286</v>
      </c>
      <c r="C275" s="19">
        <f t="shared" si="76"/>
        <v>48.2857142857143</v>
      </c>
      <c r="D275" s="19">
        <f t="shared" si="76"/>
        <v>34.5714285714286</v>
      </c>
      <c r="E275" s="19">
        <f t="shared" si="76"/>
        <v>16.2857142857143</v>
      </c>
      <c r="F275" s="19">
        <f t="shared" si="76"/>
        <v>6.71428571428571</v>
      </c>
      <c r="G275" s="19">
        <f t="shared" si="76"/>
        <v>55.8571428571429</v>
      </c>
      <c r="H275" s="19">
        <f t="shared" si="76"/>
        <v>107</v>
      </c>
      <c r="I275" s="36">
        <f t="shared" si="72"/>
        <v>52.2029372496662</v>
      </c>
      <c r="J275" s="19">
        <f>AVERAGE(J268:J274)</f>
        <v>7.42857142857143</v>
      </c>
      <c r="K275" s="19">
        <f>AVERAGE(K268:K274)</f>
        <v>15.2857142857143</v>
      </c>
      <c r="L275" s="36">
        <f t="shared" si="73"/>
        <v>48.5981308411215</v>
      </c>
      <c r="M275" s="19">
        <f>AVERAGE(M268:M274)</f>
        <v>36.5714285714286</v>
      </c>
      <c r="N275" s="19">
        <f>AVERAGE(N268:N274)</f>
        <v>44</v>
      </c>
      <c r="O275" s="36">
        <f t="shared" si="74"/>
        <v>83.1168831168831</v>
      </c>
      <c r="P275" s="19">
        <f>AVERAGE(P268:P274)</f>
        <v>9.28571428571429</v>
      </c>
      <c r="Q275" s="19">
        <f>AVERAGE(Q268:Q274)</f>
        <v>22.5714285714286</v>
      </c>
      <c r="R275" s="19">
        <f>AVERAGE(R268:R274)</f>
        <v>16</v>
      </c>
      <c r="S275" s="20">
        <f>AVERAGE(S268:S274)</f>
        <v>-1.71428571428571</v>
      </c>
      <c r="U275" s="61" t="s">
        <v>43</v>
      </c>
    </row>
    <row r="276" spans="1:21">
      <c r="U276" s="61" t="s">
        <v>43</v>
      </c>
    </row>
    <row r="277" spans="1:21">
      <c r="U277" s="61" t="s">
        <v>43</v>
      </c>
    </row>
    <row r="278" spans="1:21">
      <c r="U278" s="61" t="s">
        <v>43</v>
      </c>
    </row>
    <row r="279" spans="1:21">
      <c r="U279" s="61" t="s">
        <v>43</v>
      </c>
    </row>
    <row r="280" spans="1:21">
      <c r="U280" s="61" t="s">
        <v>43</v>
      </c>
    </row>
    <row r="281" ht="28.5" customHeight="1" spans="1:21">
      <c r="A281" s="21" t="s">
        <v>65</v>
      </c>
      <c r="U281" s="61" t="s">
        <v>43</v>
      </c>
    </row>
    <row r="282" ht="22.5" customHeight="1" spans="1:21">
      <c r="A282" s="2" t="s">
        <v>44</v>
      </c>
      <c r="B282" s="22" t="s">
        <v>45</v>
      </c>
      <c r="C282" s="22" t="s">
        <v>46</v>
      </c>
      <c r="D282" s="22" t="s">
        <v>47</v>
      </c>
      <c r="E282" s="22" t="s">
        <v>48</v>
      </c>
      <c r="F282" s="22" t="s">
        <v>49</v>
      </c>
      <c r="G282" s="22" t="s">
        <v>50</v>
      </c>
      <c r="H282" s="22" t="s">
        <v>51</v>
      </c>
      <c r="I282" s="22" t="s">
        <v>52</v>
      </c>
      <c r="J282" s="22" t="s">
        <v>53</v>
      </c>
      <c r="K282" s="22" t="s">
        <v>54</v>
      </c>
      <c r="L282" s="22" t="s">
        <v>55</v>
      </c>
      <c r="M282" s="22" t="s">
        <v>56</v>
      </c>
      <c r="N282" s="22" t="s">
        <v>57</v>
      </c>
      <c r="O282" s="22" t="s">
        <v>58</v>
      </c>
      <c r="P282" s="22" t="s">
        <v>59</v>
      </c>
      <c r="Q282" s="22" t="s">
        <v>60</v>
      </c>
      <c r="R282" s="22" t="s">
        <v>61</v>
      </c>
      <c r="S282" s="23" t="s">
        <v>62</v>
      </c>
      <c r="U282" s="61" t="s">
        <v>43</v>
      </c>
    </row>
    <row r="283" ht="22.5" customHeight="1" spans="1:21">
      <c r="A283" s="5" t="str">
        <f>'g1'!A24</f>
        <v>NO</v>
      </c>
      <c r="B283" s="24">
        <f>'g1'!B24</f>
        <v>128</v>
      </c>
      <c r="C283" s="25">
        <f>'g1'!C24</f>
        <v>51</v>
      </c>
      <c r="D283" s="25">
        <f>'g1'!D24</f>
        <v>30</v>
      </c>
      <c r="E283" s="25">
        <f>'g1'!E24</f>
        <v>8</v>
      </c>
      <c r="F283" s="25">
        <f>'g1'!F24</f>
        <v>11</v>
      </c>
      <c r="G283" s="25">
        <f>'g1'!G24</f>
        <v>50</v>
      </c>
      <c r="H283" s="25">
        <f>'g1'!H24</f>
        <v>103</v>
      </c>
      <c r="I283" s="26">
        <f t="shared" ref="I283:I290" si="77">IF(H283,G283/H283*100,U281)</f>
        <v>48.5436893203884</v>
      </c>
      <c r="J283" s="25">
        <f>'g1'!I24</f>
        <v>14</v>
      </c>
      <c r="K283" s="25">
        <f>'g1'!J24</f>
        <v>33</v>
      </c>
      <c r="L283" s="26">
        <f t="shared" ref="L283:L290" si="78">IF(K283,J283/K283*100,U281)</f>
        <v>42.4242424242424</v>
      </c>
      <c r="M283" s="25">
        <f>'g1'!K24</f>
        <v>14</v>
      </c>
      <c r="N283" s="25">
        <f>'g1'!L24</f>
        <v>19</v>
      </c>
      <c r="O283" s="26">
        <f t="shared" ref="O283:O290" si="79">IF(N283,M283/N283*100,U281)</f>
        <v>73.6842105263158</v>
      </c>
      <c r="P283" s="25">
        <f>'g1'!M24</f>
        <v>15</v>
      </c>
      <c r="Q283" s="25">
        <f>'g1'!N24</f>
        <v>21</v>
      </c>
      <c r="R283" s="25">
        <f>'g1'!O24</f>
        <v>14</v>
      </c>
      <c r="S283" s="27">
        <f t="shared" ref="S283:S289" si="80">B283-B268</f>
        <v>-11</v>
      </c>
      <c r="U283" s="61" t="s">
        <v>43</v>
      </c>
    </row>
    <row r="284" ht="22.5" customHeight="1" spans="1:21">
      <c r="A284" s="5" t="str">
        <f>'g1'!A51</f>
        <v>NO</v>
      </c>
      <c r="B284" s="24">
        <f>'g1'!B51</f>
        <v>193</v>
      </c>
      <c r="C284" s="25">
        <f>'g1'!C51</f>
        <v>65</v>
      </c>
      <c r="D284" s="25">
        <f>'g1'!D51</f>
        <v>53</v>
      </c>
      <c r="E284" s="25">
        <f>'g1'!E51</f>
        <v>13</v>
      </c>
      <c r="F284" s="25">
        <f>'g1'!F51</f>
        <v>17</v>
      </c>
      <c r="G284" s="25">
        <f>'g1'!G51</f>
        <v>79</v>
      </c>
      <c r="H284" s="25">
        <f>'g1'!H51</f>
        <v>153</v>
      </c>
      <c r="I284" s="26">
        <f t="shared" si="77"/>
        <v>51.6339869281046</v>
      </c>
      <c r="J284" s="25">
        <f>'g1'!I51</f>
        <v>12</v>
      </c>
      <c r="K284" s="25">
        <f>'g1'!J51</f>
        <v>36</v>
      </c>
      <c r="L284" s="26">
        <f t="shared" si="78"/>
        <v>33.3333333333333</v>
      </c>
      <c r="M284" s="25">
        <f>'g1'!K51</f>
        <v>23</v>
      </c>
      <c r="N284" s="25">
        <f>'g1'!L51</f>
        <v>36</v>
      </c>
      <c r="O284" s="26">
        <f t="shared" si="79"/>
        <v>63.8888888888889</v>
      </c>
      <c r="P284" s="25">
        <f>'g1'!M51</f>
        <v>23</v>
      </c>
      <c r="Q284" s="25">
        <f>'g1'!N51</f>
        <v>38</v>
      </c>
      <c r="R284" s="25">
        <f>'g1'!O51</f>
        <v>17</v>
      </c>
      <c r="S284" s="27">
        <f t="shared" si="80"/>
        <v>-4</v>
      </c>
      <c r="U284" s="61" t="s">
        <v>43</v>
      </c>
    </row>
    <row r="285" ht="22.5" customHeight="1" spans="1:21">
      <c r="A285" s="5" t="str">
        <f>'g1'!A78</f>
        <v>NO</v>
      </c>
      <c r="B285" s="24">
        <f>'g1'!B78</f>
        <v>191</v>
      </c>
      <c r="C285" s="25">
        <f>'g1'!C78</f>
        <v>76</v>
      </c>
      <c r="D285" s="25">
        <f>'g1'!D78</f>
        <v>48</v>
      </c>
      <c r="E285" s="25">
        <f>'g1'!E78</f>
        <v>17</v>
      </c>
      <c r="F285" s="25">
        <f>'g1'!F78</f>
        <v>17</v>
      </c>
      <c r="G285" s="25">
        <f>'g1'!G78</f>
        <v>79</v>
      </c>
      <c r="H285" s="25">
        <f>'g1'!H78</f>
        <v>151</v>
      </c>
      <c r="I285" s="26">
        <f t="shared" si="77"/>
        <v>52.317880794702</v>
      </c>
      <c r="J285" s="25">
        <f>'g1'!I78</f>
        <v>11</v>
      </c>
      <c r="K285" s="25">
        <f>'g1'!J78</f>
        <v>32</v>
      </c>
      <c r="L285" s="26">
        <f t="shared" si="78"/>
        <v>34.375</v>
      </c>
      <c r="M285" s="25">
        <f>'g1'!K78</f>
        <v>22</v>
      </c>
      <c r="N285" s="25">
        <f>'g1'!L78</f>
        <v>29</v>
      </c>
      <c r="O285" s="26">
        <f t="shared" si="79"/>
        <v>75.8620689655172</v>
      </c>
      <c r="P285" s="25">
        <f>'g1'!M78</f>
        <v>22</v>
      </c>
      <c r="Q285" s="25">
        <f>'g1'!N78</f>
        <v>31</v>
      </c>
      <c r="R285" s="25">
        <f>'g1'!O78</f>
        <v>14</v>
      </c>
      <c r="S285" s="27">
        <f t="shared" si="80"/>
        <v>10</v>
      </c>
      <c r="U285" s="61" t="s">
        <v>43</v>
      </c>
    </row>
    <row r="286" ht="22.5" customHeight="1" spans="1:21">
      <c r="A286" s="5" t="str">
        <f>'g1'!A105</f>
        <v>NO</v>
      </c>
      <c r="B286" s="24">
        <f>'g1'!B105</f>
        <v>158</v>
      </c>
      <c r="C286" s="25">
        <f>'g1'!C105</f>
        <v>46</v>
      </c>
      <c r="D286" s="25">
        <f>'g1'!D105</f>
        <v>31</v>
      </c>
      <c r="E286" s="25">
        <f>'g1'!E105</f>
        <v>7</v>
      </c>
      <c r="F286" s="25">
        <f>'g1'!F105</f>
        <v>13</v>
      </c>
      <c r="G286" s="25">
        <f>'g1'!G105</f>
        <v>66</v>
      </c>
      <c r="H286" s="25">
        <f>'g1'!H105</f>
        <v>114</v>
      </c>
      <c r="I286" s="26">
        <f t="shared" si="77"/>
        <v>57.8947368421053</v>
      </c>
      <c r="J286" s="25">
        <f>'g1'!I105</f>
        <v>9</v>
      </c>
      <c r="K286" s="25">
        <f>'g1'!J105</f>
        <v>26</v>
      </c>
      <c r="L286" s="26">
        <f t="shared" si="78"/>
        <v>34.6153846153846</v>
      </c>
      <c r="M286" s="25">
        <f>'g1'!K105</f>
        <v>17</v>
      </c>
      <c r="N286" s="25">
        <f>'g1'!L105</f>
        <v>25</v>
      </c>
      <c r="O286" s="26">
        <f t="shared" si="79"/>
        <v>68</v>
      </c>
      <c r="P286" s="25">
        <f>'g1'!M105</f>
        <v>15</v>
      </c>
      <c r="Q286" s="25">
        <f>'g1'!N105</f>
        <v>18</v>
      </c>
      <c r="R286" s="25">
        <f>'g1'!O105</f>
        <v>10</v>
      </c>
      <c r="S286" s="27">
        <f t="shared" si="80"/>
        <v>9</v>
      </c>
      <c r="U286" s="61" t="s">
        <v>43</v>
      </c>
    </row>
    <row r="287" ht="22.5" customHeight="1" spans="1:21">
      <c r="A287" s="5" t="str">
        <f>'g1'!A132</f>
        <v>NO</v>
      </c>
      <c r="B287" s="24">
        <f>'g1'!B132</f>
        <v>136</v>
      </c>
      <c r="C287" s="25">
        <f>'g1'!C132</f>
        <v>45</v>
      </c>
      <c r="D287" s="25">
        <f>'g1'!D132</f>
        <v>40</v>
      </c>
      <c r="E287" s="25">
        <f>'g1'!E132</f>
        <v>11</v>
      </c>
      <c r="F287" s="25">
        <f>'g1'!F132</f>
        <v>14</v>
      </c>
      <c r="G287" s="25">
        <f>'g1'!G132</f>
        <v>53</v>
      </c>
      <c r="H287" s="25">
        <f>'g1'!H132</f>
        <v>98</v>
      </c>
      <c r="I287" s="26">
        <f t="shared" si="77"/>
        <v>54.0816326530612</v>
      </c>
      <c r="J287" s="25">
        <f>'g1'!I132</f>
        <v>13</v>
      </c>
      <c r="K287" s="25">
        <f>'g1'!J132</f>
        <v>26</v>
      </c>
      <c r="L287" s="26">
        <f t="shared" si="78"/>
        <v>50</v>
      </c>
      <c r="M287" s="25">
        <f>'g1'!K132</f>
        <v>17</v>
      </c>
      <c r="N287" s="25">
        <f>'g1'!L132</f>
        <v>22</v>
      </c>
      <c r="O287" s="26">
        <f t="shared" si="79"/>
        <v>77.2727272727273</v>
      </c>
      <c r="P287" s="25">
        <f>'g1'!M132</f>
        <v>11</v>
      </c>
      <c r="Q287" s="25">
        <f>'g1'!N132</f>
        <v>15</v>
      </c>
      <c r="R287" s="25">
        <f>'g1'!O132</f>
        <v>5</v>
      </c>
      <c r="S287" s="27">
        <f t="shared" si="80"/>
        <v>25</v>
      </c>
      <c r="U287" s="61" t="s">
        <v>43</v>
      </c>
    </row>
    <row r="288" ht="22.5" customHeight="1" spans="1:21">
      <c r="A288" s="5" t="str">
        <f>'g1'!A158</f>
        <v>NO</v>
      </c>
      <c r="B288" s="24">
        <f>'g1'!B158</f>
        <v>139</v>
      </c>
      <c r="C288" s="25">
        <f>'g1'!C158</f>
        <v>54</v>
      </c>
      <c r="D288" s="25">
        <f>'g1'!D158</f>
        <v>40</v>
      </c>
      <c r="E288" s="25">
        <f>'g1'!E158</f>
        <v>4</v>
      </c>
      <c r="F288" s="25">
        <f>'g1'!F158</f>
        <v>10</v>
      </c>
      <c r="G288" s="25">
        <f>'g1'!G158</f>
        <v>58</v>
      </c>
      <c r="H288" s="25">
        <f>'g1'!H158</f>
        <v>123</v>
      </c>
      <c r="I288" s="26">
        <f t="shared" si="77"/>
        <v>47.1544715447154</v>
      </c>
      <c r="J288" s="25">
        <f>'g1'!I158</f>
        <v>12</v>
      </c>
      <c r="K288" s="25">
        <f>'g1'!J158</f>
        <v>36</v>
      </c>
      <c r="L288" s="26">
        <f t="shared" si="78"/>
        <v>33.3333333333333</v>
      </c>
      <c r="M288" s="25">
        <f>'g1'!K158</f>
        <v>11</v>
      </c>
      <c r="N288" s="25">
        <f>'g1'!L158</f>
        <v>15</v>
      </c>
      <c r="O288" s="26">
        <f t="shared" si="79"/>
        <v>73.3333333333333</v>
      </c>
      <c r="P288" s="25">
        <f>'g1'!M158</f>
        <v>17</v>
      </c>
      <c r="Q288" s="25">
        <f>'g1'!N158</f>
        <v>23</v>
      </c>
      <c r="R288" s="25">
        <f>'g1'!O158</f>
        <v>10</v>
      </c>
      <c r="S288" s="27">
        <f t="shared" si="80"/>
        <v>-16</v>
      </c>
      <c r="U288" s="61" t="s">
        <v>43</v>
      </c>
    </row>
    <row r="289" ht="22.5" customHeight="1" spans="1:19">
      <c r="A289" s="5" t="str">
        <f>'g1'!A184</f>
        <v>NO</v>
      </c>
      <c r="B289" s="24">
        <f>'g1'!B184</f>
        <v>157</v>
      </c>
      <c r="C289" s="25">
        <f>'g1'!C184</f>
        <v>53</v>
      </c>
      <c r="D289" s="25">
        <f>'g1'!D184</f>
        <v>46</v>
      </c>
      <c r="E289" s="25">
        <f>'g1'!E184</f>
        <v>2</v>
      </c>
      <c r="F289" s="25">
        <f>'g1'!F184</f>
        <v>8</v>
      </c>
      <c r="G289" s="25">
        <f>'g1'!G184</f>
        <v>69</v>
      </c>
      <c r="H289" s="25">
        <f>'g1'!H184</f>
        <v>123</v>
      </c>
      <c r="I289" s="26">
        <f t="shared" si="77"/>
        <v>56.0975609756098</v>
      </c>
      <c r="J289" s="25">
        <f>'g1'!I184</f>
        <v>9</v>
      </c>
      <c r="K289" s="25">
        <f>'g1'!J184</f>
        <v>26</v>
      </c>
      <c r="L289" s="26">
        <f t="shared" si="78"/>
        <v>34.6153846153846</v>
      </c>
      <c r="M289" s="25">
        <f>'g1'!K184</f>
        <v>10</v>
      </c>
      <c r="N289" s="25">
        <f>'g1'!L184</f>
        <v>17</v>
      </c>
      <c r="O289" s="26">
        <f t="shared" si="79"/>
        <v>58.8235294117647</v>
      </c>
      <c r="P289" s="25">
        <f>'g1'!M184</f>
        <v>13</v>
      </c>
      <c r="Q289" s="25">
        <f>'g1'!N184</f>
        <v>22</v>
      </c>
      <c r="R289" s="25">
        <f>'g1'!O184</f>
        <v>8</v>
      </c>
      <c r="S289" s="27">
        <f t="shared" si="80"/>
        <v>-1</v>
      </c>
    </row>
    <row r="290" ht="22.5" customHeight="1" spans="1:19">
      <c r="A290" s="17" t="s">
        <v>63</v>
      </c>
      <c r="B290" s="18">
        <f t="shared" ref="B290:H290" si="81">AVERAGE(B283:B289)</f>
        <v>157.428571428571</v>
      </c>
      <c r="C290" s="19">
        <f t="shared" si="81"/>
        <v>55.7142857142857</v>
      </c>
      <c r="D290" s="19">
        <f t="shared" si="81"/>
        <v>41.1428571428571</v>
      </c>
      <c r="E290" s="19">
        <f t="shared" si="81"/>
        <v>8.85714285714286</v>
      </c>
      <c r="F290" s="19">
        <f t="shared" si="81"/>
        <v>12.8571428571429</v>
      </c>
      <c r="G290" s="19">
        <f t="shared" si="81"/>
        <v>64.8571428571429</v>
      </c>
      <c r="H290" s="19">
        <f t="shared" si="81"/>
        <v>123.571428571429</v>
      </c>
      <c r="I290" s="36">
        <f t="shared" si="77"/>
        <v>52.485549132948</v>
      </c>
      <c r="J290" s="19">
        <f>AVERAGE(J283:J289)</f>
        <v>11.4285714285714</v>
      </c>
      <c r="K290" s="19">
        <f>AVERAGE(K283:K289)</f>
        <v>30.7142857142857</v>
      </c>
      <c r="L290" s="36">
        <f t="shared" si="78"/>
        <v>37.2093023255814</v>
      </c>
      <c r="M290" s="19">
        <f>AVERAGE(M283:M289)</f>
        <v>16.2857142857143</v>
      </c>
      <c r="N290" s="19">
        <f>AVERAGE(N283:N289)</f>
        <v>23.2857142857143</v>
      </c>
      <c r="O290" s="36">
        <f t="shared" si="79"/>
        <v>69.9386503067485</v>
      </c>
      <c r="P290" s="19">
        <f>AVERAGE(P283:P289)</f>
        <v>16.5714285714286</v>
      </c>
      <c r="Q290" s="19">
        <f>AVERAGE(Q283:Q289)</f>
        <v>24</v>
      </c>
      <c r="R290" s="19">
        <f>AVERAGE(R283:R289)</f>
        <v>11.1428571428571</v>
      </c>
      <c r="S290" s="20">
        <f>AVERAGE(S283:S289)</f>
        <v>1.71428571428571</v>
      </c>
    </row>
  </sheetData>
  <mergeCells count="20">
    <mergeCell ref="A1:S1"/>
    <mergeCell ref="A11:S11"/>
    <mergeCell ref="A26:S26"/>
    <mergeCell ref="A41:S41"/>
    <mergeCell ref="A56:S56"/>
    <mergeCell ref="A71:S71"/>
    <mergeCell ref="A86:S86"/>
    <mergeCell ref="A101:S101"/>
    <mergeCell ref="A116:S116"/>
    <mergeCell ref="A131:S131"/>
    <mergeCell ref="A146:S146"/>
    <mergeCell ref="A161:S161"/>
    <mergeCell ref="A176:S176"/>
    <mergeCell ref="A191:S191"/>
    <mergeCell ref="A206:S206"/>
    <mergeCell ref="A221:S221"/>
    <mergeCell ref="A236:S236"/>
    <mergeCell ref="A251:S251"/>
    <mergeCell ref="A266:S266"/>
    <mergeCell ref="A281:S28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="55" zoomScaleNormal="55" workbookViewId="0">
      <selection activeCell="B1" sqref="B1:S1"/>
    </sheetView>
  </sheetViews>
  <sheetFormatPr defaultColWidth="10" defaultRowHeight="13.5"/>
  <cols>
    <col min="1" max="1" width="18.0973451327434" style="1" customWidth="1"/>
    <col min="2" max="2" width="9.5929203539823" style="1" customWidth="1"/>
    <col min="3" max="6" width="8.53982300884956" style="1" customWidth="1"/>
    <col min="7" max="7" width="8.70796460176991" style="1" customWidth="1"/>
    <col min="8" max="8" width="9.5929203539823" style="1" customWidth="1"/>
    <col min="9" max="9" width="8.70796460176991" style="1" customWidth="1"/>
    <col min="10" max="10" width="9.76991150442478" style="1" customWidth="1"/>
    <col min="11" max="11" width="9.06194690265487" style="1" customWidth="1"/>
    <col min="12" max="12" width="9.76991150442478" style="1" customWidth="1"/>
    <col min="13" max="14" width="8.53982300884956" style="1" customWidth="1"/>
    <col min="15" max="15" width="9.5929203539823" style="1" customWidth="1"/>
    <col min="16" max="18" width="8.53982300884956" style="1" customWidth="1"/>
    <col min="19" max="19" width="8.17699115044248" style="1" customWidth="1"/>
  </cols>
  <sheetData>
    <row r="1" ht="22.5" customHeight="1" spans="1:19">
      <c r="A1" s="2" t="s">
        <v>66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4" t="s">
        <v>62</v>
      </c>
    </row>
    <row r="2" ht="22.5" customHeight="1" spans="1:19">
      <c r="A2" s="5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ht="22.5" customHeight="1" spans="1:19">
      <c r="A3" s="8" t="str">
        <f>Sheet2!A9</f>
        <v>S.G.Alexander</v>
      </c>
      <c r="B3" s="9">
        <f>Sheet2!B10</f>
        <v>39.8571428571429</v>
      </c>
      <c r="C3" s="10">
        <f>Sheet2!C10</f>
        <v>4.42857142857143</v>
      </c>
      <c r="D3" s="10">
        <f>Sheet2!D10</f>
        <v>4</v>
      </c>
      <c r="E3" s="10">
        <f>Sheet2!E10</f>
        <v>1.71428571428571</v>
      </c>
      <c r="F3" s="10">
        <f>Sheet2!F10</f>
        <v>2</v>
      </c>
      <c r="G3" s="10">
        <f>Sheet2!G10</f>
        <v>13.2857142857143</v>
      </c>
      <c r="H3" s="10">
        <f>Sheet2!H10</f>
        <v>23.5714285714286</v>
      </c>
      <c r="I3" s="10">
        <f>Sheet2!I10</f>
        <v>56.3636363636364</v>
      </c>
      <c r="J3" s="10">
        <f>Sheet2!J10</f>
        <v>0.142857142857143</v>
      </c>
      <c r="K3" s="10">
        <f>Sheet2!K10</f>
        <v>0.428571428571429</v>
      </c>
      <c r="L3" s="10">
        <f>Sheet2!L10</f>
        <v>33.3333333333333</v>
      </c>
      <c r="M3" s="10">
        <f>Sheet2!M10</f>
        <v>13.1428571428571</v>
      </c>
      <c r="N3" s="10">
        <f>Sheet2!N10</f>
        <v>14</v>
      </c>
      <c r="O3" s="10">
        <f>Sheet2!O10</f>
        <v>93.8775510204082</v>
      </c>
      <c r="P3" s="10">
        <f>Sheet2!P10</f>
        <v>0.571428571428571</v>
      </c>
      <c r="Q3" s="10">
        <f>Sheet2!Q10</f>
        <v>4.85714285714286</v>
      </c>
      <c r="R3" s="10">
        <f>Sheet2!R10</f>
        <v>2.57142857142857</v>
      </c>
      <c r="S3" s="11">
        <f>Sheet2!S10</f>
        <v>3</v>
      </c>
    </row>
    <row r="4" ht="22.5" customHeight="1" spans="1:19">
      <c r="A4" s="8" t="str">
        <f>Sheet2!A19</f>
        <v>D.Mitchell</v>
      </c>
      <c r="B4" s="12">
        <f>Sheet2!B20</f>
        <v>37.2857142857143</v>
      </c>
      <c r="C4" s="13">
        <f>Sheet2!C20</f>
        <v>5.14285714285714</v>
      </c>
      <c r="D4" s="13">
        <f>Sheet2!D20</f>
        <v>7</v>
      </c>
      <c r="E4" s="13">
        <f>Sheet2!E20</f>
        <v>1.57142857142857</v>
      </c>
      <c r="F4" s="13">
        <f>Sheet2!F20</f>
        <v>1.71428571428571</v>
      </c>
      <c r="G4" s="13">
        <f>Sheet2!G20</f>
        <v>13.2857142857143</v>
      </c>
      <c r="H4" s="13">
        <f>Sheet2!H20</f>
        <v>28.2857142857143</v>
      </c>
      <c r="I4" s="13">
        <f>Sheet2!I20</f>
        <v>46.969696969697</v>
      </c>
      <c r="J4" s="13">
        <f>Sheet2!J20</f>
        <v>1.85714285714286</v>
      </c>
      <c r="K4" s="13">
        <f>Sheet2!K20</f>
        <v>3.28571428571429</v>
      </c>
      <c r="L4" s="13">
        <f>Sheet2!L20</f>
        <v>56.5217391304348</v>
      </c>
      <c r="M4" s="13">
        <f>Sheet2!M20</f>
        <v>8.85714285714286</v>
      </c>
      <c r="N4" s="13">
        <f>Sheet2!N20</f>
        <v>9.71428571428571</v>
      </c>
      <c r="O4" s="13">
        <f>Sheet2!O20</f>
        <v>91.1764705882353</v>
      </c>
      <c r="P4" s="13">
        <f>Sheet2!P20</f>
        <v>0.571428571428571</v>
      </c>
      <c r="Q4" s="13">
        <f>Sheet2!Q20</f>
        <v>3.71428571428571</v>
      </c>
      <c r="R4" s="13">
        <f>Sheet2!R20</f>
        <v>2.14285714285714</v>
      </c>
      <c r="S4" s="14">
        <f>Sheet2!S20</f>
        <v>0.857142857142857</v>
      </c>
    </row>
    <row r="5" ht="22.5" customHeight="1" spans="1:19">
      <c r="A5" s="8" t="str">
        <f>Sheet2!A34</f>
        <v>D.Booker</v>
      </c>
      <c r="B5" s="9">
        <f>Sheet2!B35</f>
        <v>24</v>
      </c>
      <c r="C5" s="10">
        <f>Sheet2!C35</f>
        <v>7.28571428571429</v>
      </c>
      <c r="D5" s="10">
        <f>Sheet2!D35</f>
        <v>4.57142857142857</v>
      </c>
      <c r="E5" s="10">
        <f>Sheet2!E35</f>
        <v>1.57142857142857</v>
      </c>
      <c r="F5" s="10">
        <f>Sheet2!F35</f>
        <v>0.714285714285714</v>
      </c>
      <c r="G5" s="10">
        <f>Sheet2!G35</f>
        <v>8.57142857142857</v>
      </c>
      <c r="H5" s="10">
        <f>Sheet2!H35</f>
        <v>15.2857142857143</v>
      </c>
      <c r="I5" s="10">
        <f>Sheet2!I35</f>
        <v>56.0747663551402</v>
      </c>
      <c r="J5" s="10">
        <f>Sheet2!J35</f>
        <v>4</v>
      </c>
      <c r="K5" s="10">
        <f>Sheet2!K35</f>
        <v>7.57142857142857</v>
      </c>
      <c r="L5" s="10">
        <f>Sheet2!L35</f>
        <v>52.8301886792453</v>
      </c>
      <c r="M5" s="10">
        <f>Sheet2!M35</f>
        <v>2.85714285714286</v>
      </c>
      <c r="N5" s="10">
        <f>Sheet2!N35</f>
        <v>3.14285714285714</v>
      </c>
      <c r="O5" s="10">
        <f>Sheet2!O35</f>
        <v>90.9090909090909</v>
      </c>
      <c r="P5" s="10">
        <f>Sheet2!P35</f>
        <v>0.142857142857143</v>
      </c>
      <c r="Q5" s="10">
        <f>Sheet2!Q35</f>
        <v>4</v>
      </c>
      <c r="R5" s="10">
        <f>Sheet2!R35</f>
        <v>1.28571428571429</v>
      </c>
      <c r="S5" s="11">
        <f>Sheet2!S35</f>
        <v>-1</v>
      </c>
    </row>
    <row r="6" ht="22.5" customHeight="1" spans="1:19">
      <c r="A6" s="8" t="str">
        <f>Sheet2!A49</f>
        <v>M.Robinson</v>
      </c>
      <c r="B6" s="12">
        <f>Sheet2!B50</f>
        <v>18.4285714285714</v>
      </c>
      <c r="C6" s="13">
        <f>Sheet2!C50</f>
        <v>10.2857142857143</v>
      </c>
      <c r="D6" s="13">
        <f>Sheet2!D50</f>
        <v>5.71428571428571</v>
      </c>
      <c r="E6" s="13">
        <f>Sheet2!E50</f>
        <v>3.85714285714286</v>
      </c>
      <c r="F6" s="13">
        <f>Sheet2!F50</f>
        <v>0.571428571428571</v>
      </c>
      <c r="G6" s="13">
        <f>Sheet2!G50</f>
        <v>6.57142857142857</v>
      </c>
      <c r="H6" s="13">
        <f>Sheet2!H50</f>
        <v>12</v>
      </c>
      <c r="I6" s="13">
        <f>Sheet2!I50</f>
        <v>54.7619047619048</v>
      </c>
      <c r="J6" s="13">
        <f>Sheet2!J50</f>
        <v>0</v>
      </c>
      <c r="K6" s="13">
        <f>Sheet2!K50</f>
        <v>0.142857142857143</v>
      </c>
      <c r="L6" s="13">
        <f>Sheet2!L50</f>
        <v>0</v>
      </c>
      <c r="M6" s="13">
        <f>Sheet2!M50</f>
        <v>5.28571428571429</v>
      </c>
      <c r="N6" s="13">
        <f>Sheet2!N50</f>
        <v>7.14285714285714</v>
      </c>
      <c r="O6" s="13">
        <f>Sheet2!O50</f>
        <v>74</v>
      </c>
      <c r="P6" s="13">
        <f>Sheet2!P50</f>
        <v>3.71428571428571</v>
      </c>
      <c r="Q6" s="13">
        <f>Sheet2!Q50</f>
        <v>2</v>
      </c>
      <c r="R6" s="13">
        <f>Sheet2!R50</f>
        <v>2.28571428571429</v>
      </c>
      <c r="S6" s="14">
        <f>Sheet2!S50</f>
        <v>0</v>
      </c>
    </row>
    <row r="7" ht="22.5" customHeight="1" spans="1:19">
      <c r="A7" s="8" t="str">
        <f>Sheet2!A64</f>
        <v>W.Chamberlain</v>
      </c>
      <c r="B7" s="9">
        <f>Sheet2!B65</f>
        <v>6.57142857142857</v>
      </c>
      <c r="C7" s="10">
        <f>Sheet2!C65</f>
        <v>9.85714285714286</v>
      </c>
      <c r="D7" s="10">
        <f>Sheet2!D65</f>
        <v>3.28571428571429</v>
      </c>
      <c r="E7" s="10">
        <f>Sheet2!E65</f>
        <v>4.42857142857143</v>
      </c>
      <c r="F7" s="10">
        <f>Sheet2!F65</f>
        <v>0.857142857142857</v>
      </c>
      <c r="G7" s="10">
        <f>Sheet2!G65</f>
        <v>3.14285714285714</v>
      </c>
      <c r="H7" s="10">
        <f>Sheet2!H65</f>
        <v>4.85714285714286</v>
      </c>
      <c r="I7" s="10">
        <f>Sheet2!I65</f>
        <v>64.7058823529412</v>
      </c>
      <c r="J7" s="10">
        <f>Sheet2!J65</f>
        <v>0</v>
      </c>
      <c r="K7" s="10">
        <f>Sheet2!K65</f>
        <v>0</v>
      </c>
      <c r="L7" s="66" t="str">
        <f>Sheet2!L65</f>
        <v>---</v>
      </c>
      <c r="M7" s="10">
        <f>Sheet2!M65</f>
        <v>0.285714285714286</v>
      </c>
      <c r="N7" s="10">
        <f>Sheet2!N65</f>
        <v>2.28571428571429</v>
      </c>
      <c r="O7" s="10">
        <f>Sheet2!O65</f>
        <v>12.5</v>
      </c>
      <c r="P7" s="10">
        <f>Sheet2!P65</f>
        <v>2.57142857142857</v>
      </c>
      <c r="Q7" s="10">
        <f>Sheet2!Q65</f>
        <v>2.42857142857143</v>
      </c>
      <c r="R7" s="10">
        <f>Sheet2!R65</f>
        <v>2.57142857142857</v>
      </c>
      <c r="S7" s="11">
        <f>Sheet2!S65</f>
        <v>0.142857142857143</v>
      </c>
    </row>
    <row r="8" ht="22.5" customHeight="1" spans="1:19">
      <c r="A8" s="8" t="str">
        <f>Sheet2!A79</f>
        <v>J.Brown</v>
      </c>
      <c r="B8" s="12">
        <f>Sheet2!B80</f>
        <v>9.71428571428571</v>
      </c>
      <c r="C8" s="13">
        <f>Sheet2!C80</f>
        <v>4.14285714285714</v>
      </c>
      <c r="D8" s="13">
        <f>Sheet2!D80</f>
        <v>2.85714285714286</v>
      </c>
      <c r="E8" s="13">
        <f>Sheet2!E80</f>
        <v>1.42857142857143</v>
      </c>
      <c r="F8" s="13">
        <f>Sheet2!F80</f>
        <v>0.142857142857143</v>
      </c>
      <c r="G8" s="13">
        <f>Sheet2!G80</f>
        <v>3.85714285714286</v>
      </c>
      <c r="H8" s="13">
        <f>Sheet2!H80</f>
        <v>8.85714285714286</v>
      </c>
      <c r="I8" s="13">
        <f>Sheet2!I80</f>
        <v>43.5483870967742</v>
      </c>
      <c r="J8" s="13">
        <f>Sheet2!J80</f>
        <v>0.571428571428571</v>
      </c>
      <c r="K8" s="13">
        <f>Sheet2!K80</f>
        <v>2.42857142857143</v>
      </c>
      <c r="L8" s="13">
        <f>Sheet2!L80</f>
        <v>23.5294117647059</v>
      </c>
      <c r="M8" s="13">
        <f>Sheet2!M80</f>
        <v>1.42857142857143</v>
      </c>
      <c r="N8" s="13">
        <f>Sheet2!N80</f>
        <v>1.71428571428571</v>
      </c>
      <c r="O8" s="13">
        <f>Sheet2!O80</f>
        <v>83.3333333333333</v>
      </c>
      <c r="P8" s="13">
        <f>Sheet2!P80</f>
        <v>0.285714285714286</v>
      </c>
      <c r="Q8" s="13">
        <f>Sheet2!Q80</f>
        <v>1.71428571428571</v>
      </c>
      <c r="R8" s="13">
        <f>Sheet2!R80</f>
        <v>1.57142857142857</v>
      </c>
      <c r="S8" s="14">
        <f>Sheet2!S80</f>
        <v>-8.57142857142857</v>
      </c>
    </row>
    <row r="9" ht="22.5" customHeight="1" spans="1:19">
      <c r="A9" s="8" t="str">
        <f>Sheet2!A94</f>
        <v>T.Rozier III</v>
      </c>
      <c r="B9" s="9">
        <f>Sheet2!B95</f>
        <v>7.14285714285714</v>
      </c>
      <c r="C9" s="10">
        <f>Sheet2!C95</f>
        <v>2.28571428571429</v>
      </c>
      <c r="D9" s="10">
        <f>Sheet2!D95</f>
        <v>2.28571428571429</v>
      </c>
      <c r="E9" s="10">
        <f>Sheet2!E95</f>
        <v>0.571428571428571</v>
      </c>
      <c r="F9" s="10">
        <f>Sheet2!F95</f>
        <v>0.428571428571429</v>
      </c>
      <c r="G9" s="10">
        <f>Sheet2!G95</f>
        <v>2.71428571428571</v>
      </c>
      <c r="H9" s="10">
        <f>Sheet2!H95</f>
        <v>6.14285714285714</v>
      </c>
      <c r="I9" s="10">
        <f>Sheet2!I95</f>
        <v>44.1860465116279</v>
      </c>
      <c r="J9" s="10">
        <f>Sheet2!J95</f>
        <v>0.285714285714286</v>
      </c>
      <c r="K9" s="10">
        <f>Sheet2!K95</f>
        <v>0.571428571428571</v>
      </c>
      <c r="L9" s="10">
        <f>Sheet2!L95</f>
        <v>50</v>
      </c>
      <c r="M9" s="10">
        <f>Sheet2!M95</f>
        <v>1.42857142857143</v>
      </c>
      <c r="N9" s="10">
        <f>Sheet2!N95</f>
        <v>2.28571428571429</v>
      </c>
      <c r="O9" s="10">
        <f>Sheet2!O95</f>
        <v>62.5</v>
      </c>
      <c r="P9" s="10">
        <f>Sheet2!P95</f>
        <v>0.142857142857143</v>
      </c>
      <c r="Q9" s="10">
        <f>Sheet2!Q95</f>
        <v>2.57142857142857</v>
      </c>
      <c r="R9" s="10">
        <f>Sheet2!R95</f>
        <v>1.71428571428571</v>
      </c>
      <c r="S9" s="11">
        <f>Sheet2!S95</f>
        <v>-9.42857142857143</v>
      </c>
    </row>
    <row r="10" ht="22.5" customHeight="1" spans="1:19">
      <c r="A10" s="8" t="str">
        <f>Sheet2!A109</f>
        <v>M.Wagner</v>
      </c>
      <c r="B10" s="12">
        <f>Sheet2!B110</f>
        <v>6.71428571428571</v>
      </c>
      <c r="C10" s="13">
        <f>Sheet2!C110</f>
        <v>3.28571428571429</v>
      </c>
      <c r="D10" s="13">
        <f>Sheet2!D110</f>
        <v>0.714285714285714</v>
      </c>
      <c r="E10" s="13">
        <f>Sheet2!E110</f>
        <v>0.714285714285714</v>
      </c>
      <c r="F10" s="13">
        <f>Sheet2!F110</f>
        <v>0</v>
      </c>
      <c r="G10" s="13">
        <f>Sheet2!G110</f>
        <v>2.57142857142857</v>
      </c>
      <c r="H10" s="13">
        <f>Sheet2!H110</f>
        <v>3.71428571428571</v>
      </c>
      <c r="I10" s="13">
        <f>Sheet2!I110</f>
        <v>69.2307692307692</v>
      </c>
      <c r="J10" s="13">
        <f>Sheet2!J110</f>
        <v>0.285714285714286</v>
      </c>
      <c r="K10" s="13">
        <f>Sheet2!K110</f>
        <v>0.428571428571429</v>
      </c>
      <c r="L10" s="13">
        <f>Sheet2!L110</f>
        <v>66.6666666666667</v>
      </c>
      <c r="M10" s="13">
        <f>Sheet2!M110</f>
        <v>1.28571428571429</v>
      </c>
      <c r="N10" s="13">
        <f>Sheet2!N110</f>
        <v>1.42857142857143</v>
      </c>
      <c r="O10" s="13">
        <f>Sheet2!O110</f>
        <v>90</v>
      </c>
      <c r="P10" s="13">
        <f>Sheet2!P110</f>
        <v>0.714285714285714</v>
      </c>
      <c r="Q10" s="13">
        <f>Sheet2!Q110</f>
        <v>0.714285714285714</v>
      </c>
      <c r="R10" s="13">
        <f>Sheet2!R110</f>
        <v>0.285714285714286</v>
      </c>
      <c r="S10" s="14">
        <f>Sheet2!S110</f>
        <v>-4.42857142857143</v>
      </c>
    </row>
    <row r="11" ht="22.5" customHeight="1" spans="1:19">
      <c r="A11" s="8" t="str">
        <f>Sheet2!A124</f>
        <v>E.Schmidt</v>
      </c>
      <c r="B11" s="9">
        <f>Sheet2!B125</f>
        <v>5</v>
      </c>
      <c r="C11" s="10">
        <f>Sheet2!C125</f>
        <v>0.714285714285714</v>
      </c>
      <c r="D11" s="10">
        <f>Sheet2!D125</f>
        <v>3.57142857142857</v>
      </c>
      <c r="E11" s="10">
        <f>Sheet2!E125</f>
        <v>0.142857142857143</v>
      </c>
      <c r="F11" s="10">
        <f>Sheet2!F125</f>
        <v>0.285714285714286</v>
      </c>
      <c r="G11" s="10">
        <f>Sheet2!G125</f>
        <v>1.42857142857143</v>
      </c>
      <c r="H11" s="10">
        <f>Sheet2!H125</f>
        <v>2.57142857142857</v>
      </c>
      <c r="I11" s="10">
        <f>Sheet2!I125</f>
        <v>55.5555555555556</v>
      </c>
      <c r="J11" s="10">
        <f>Sheet2!J125</f>
        <v>0.142857142857143</v>
      </c>
      <c r="K11" s="10">
        <f>Sheet2!K125</f>
        <v>0.285714285714286</v>
      </c>
      <c r="L11" s="10">
        <f>Sheet2!L125</f>
        <v>50</v>
      </c>
      <c r="M11" s="10">
        <f>Sheet2!M125</f>
        <v>2</v>
      </c>
      <c r="N11" s="10">
        <f>Sheet2!N125</f>
        <v>2.28571428571429</v>
      </c>
      <c r="O11" s="10">
        <f>Sheet2!O125</f>
        <v>87.5</v>
      </c>
      <c r="P11" s="10">
        <f>Sheet2!P125</f>
        <v>0.142857142857143</v>
      </c>
      <c r="Q11" s="10">
        <f>Sheet2!Q125</f>
        <v>0.571428571428571</v>
      </c>
      <c r="R11" s="10">
        <f>Sheet2!R125</f>
        <v>0.571428571428571</v>
      </c>
      <c r="S11" s="11">
        <f>Sheet2!S125</f>
        <v>0.428571428571429</v>
      </c>
    </row>
    <row r="12" ht="22.5" customHeight="1" spans="1:19">
      <c r="A12" s="8" t="str">
        <f>Sheet2!A266</f>
        <v>CLE总计</v>
      </c>
      <c r="B12" s="12">
        <f>Sheet2!B275</f>
        <v>155.714285714286</v>
      </c>
      <c r="C12" s="13">
        <f>Sheet2!C275</f>
        <v>48.2857142857143</v>
      </c>
      <c r="D12" s="13">
        <f>Sheet2!D275</f>
        <v>34.5714285714286</v>
      </c>
      <c r="E12" s="13">
        <f>Sheet2!E275</f>
        <v>16.2857142857143</v>
      </c>
      <c r="F12" s="13">
        <f>Sheet2!F275</f>
        <v>6.71428571428571</v>
      </c>
      <c r="G12" s="13">
        <f>Sheet2!G275</f>
        <v>55.8571428571429</v>
      </c>
      <c r="H12" s="13">
        <f>Sheet2!H275</f>
        <v>107</v>
      </c>
      <c r="I12" s="13">
        <f>Sheet2!I275</f>
        <v>52.2029372496662</v>
      </c>
      <c r="J12" s="13">
        <f>Sheet2!J275</f>
        <v>7.42857142857143</v>
      </c>
      <c r="K12" s="13">
        <f>Sheet2!K275</f>
        <v>15.2857142857143</v>
      </c>
      <c r="L12" s="13">
        <f>Sheet2!L275</f>
        <v>48.5981308411215</v>
      </c>
      <c r="M12" s="13">
        <f>Sheet2!M275</f>
        <v>36.5714285714286</v>
      </c>
      <c r="N12" s="13">
        <f>Sheet2!N275</f>
        <v>44</v>
      </c>
      <c r="O12" s="13">
        <f>Sheet2!O275</f>
        <v>83.1168831168831</v>
      </c>
      <c r="P12" s="13">
        <f>Sheet2!P275</f>
        <v>9.28571428571429</v>
      </c>
      <c r="Q12" s="13">
        <f>Sheet2!Q275</f>
        <v>22.5714285714286</v>
      </c>
      <c r="R12" s="13">
        <f>Sheet2!R275</f>
        <v>16</v>
      </c>
      <c r="S12" s="14">
        <f>Sheet2!S275</f>
        <v>-1.71428571428571</v>
      </c>
    </row>
    <row r="13" ht="22.5" customHeight="1" spans="1:19">
      <c r="A13" s="8" t="s">
        <v>16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/>
    </row>
    <row r="14" ht="22.5" customHeight="1" spans="1:19">
      <c r="A14" s="8" t="str">
        <f>Sheet2!A139</f>
        <v>Lonzo Ball</v>
      </c>
      <c r="B14" s="12">
        <f>Sheet2!B140</f>
        <v>25.7142857142857</v>
      </c>
      <c r="C14" s="13">
        <f>Sheet2!C140</f>
        <v>4.85714285714286</v>
      </c>
      <c r="D14" s="13">
        <f>Sheet2!D140</f>
        <v>9.71428571428571</v>
      </c>
      <c r="E14" s="13">
        <f>Sheet2!E140</f>
        <v>2.71428571428571</v>
      </c>
      <c r="F14" s="13">
        <f>Sheet2!F140</f>
        <v>1.57142857142857</v>
      </c>
      <c r="G14" s="13">
        <f>Sheet2!G140</f>
        <v>10.7142857142857</v>
      </c>
      <c r="H14" s="13">
        <f>Sheet2!H140</f>
        <v>21.7142857142857</v>
      </c>
      <c r="I14" s="13">
        <f>Sheet2!I140</f>
        <v>49.3421052631579</v>
      </c>
      <c r="J14" s="13">
        <f>Sheet2!J140</f>
        <v>2.14285714285714</v>
      </c>
      <c r="K14" s="13">
        <f>Sheet2!K140</f>
        <v>6.85714285714286</v>
      </c>
      <c r="L14" s="13">
        <f>Sheet2!L140</f>
        <v>31.25</v>
      </c>
      <c r="M14" s="13">
        <f>Sheet2!M140</f>
        <v>2.14285714285714</v>
      </c>
      <c r="N14" s="13">
        <f>Sheet2!N140</f>
        <v>4.42857142857143</v>
      </c>
      <c r="O14" s="13">
        <f>Sheet2!O140</f>
        <v>48.3870967741935</v>
      </c>
      <c r="P14" s="13">
        <f>Sheet2!P140</f>
        <v>0.571428571428571</v>
      </c>
      <c r="Q14" s="13">
        <f>Sheet2!Q140</f>
        <v>5.71428571428571</v>
      </c>
      <c r="R14" s="13">
        <f>Sheet2!R140</f>
        <v>2.57142857142857</v>
      </c>
      <c r="S14" s="14">
        <f>Sheet2!S140</f>
        <v>4.85714285714286</v>
      </c>
    </row>
    <row r="15" ht="22.5" customHeight="1" spans="1:19">
      <c r="A15" s="8" t="str">
        <f>Sheet2!A154</f>
        <v>N.A.Walker</v>
      </c>
      <c r="B15" s="9">
        <f>Sheet2!B155</f>
        <v>30</v>
      </c>
      <c r="C15" s="10">
        <f>Sheet2!C155</f>
        <v>5.42857142857143</v>
      </c>
      <c r="D15" s="10">
        <f>Sheet2!D155</f>
        <v>5.57142857142857</v>
      </c>
      <c r="E15" s="10">
        <f>Sheet2!E155</f>
        <v>1.57142857142857</v>
      </c>
      <c r="F15" s="10">
        <f>Sheet2!F155</f>
        <v>1.14285714285714</v>
      </c>
      <c r="G15" s="10">
        <f>Sheet2!G155</f>
        <v>11.8571428571429</v>
      </c>
      <c r="H15" s="10">
        <f>Sheet2!H155</f>
        <v>20.1428571428571</v>
      </c>
      <c r="I15" s="10">
        <f>Sheet2!I155</f>
        <v>58.8652482269504</v>
      </c>
      <c r="J15" s="10">
        <f>Sheet2!J155</f>
        <v>3.57142857142857</v>
      </c>
      <c r="K15" s="10">
        <f>Sheet2!K155</f>
        <v>7.71428571428571</v>
      </c>
      <c r="L15" s="10">
        <f>Sheet2!L155</f>
        <v>46.2962962962963</v>
      </c>
      <c r="M15" s="10">
        <f>Sheet2!M155</f>
        <v>2.71428571428571</v>
      </c>
      <c r="N15" s="10">
        <f>Sheet2!N155</f>
        <v>3</v>
      </c>
      <c r="O15" s="10">
        <f>Sheet2!O155</f>
        <v>90.4761904761905</v>
      </c>
      <c r="P15" s="10">
        <f>Sheet2!P155</f>
        <v>1.28571428571429</v>
      </c>
      <c r="Q15" s="10">
        <f>Sheet2!Q155</f>
        <v>3.42857142857143</v>
      </c>
      <c r="R15" s="10">
        <f>Sheet2!R155</f>
        <v>1</v>
      </c>
      <c r="S15" s="11">
        <f>Sheet2!S155</f>
        <v>4.14285714285714</v>
      </c>
    </row>
    <row r="16" ht="22.5" customHeight="1" spans="1:19">
      <c r="A16" s="8" t="str">
        <f>Sheet2!A169</f>
        <v>B.Ingram</v>
      </c>
      <c r="B16" s="12">
        <f>Sheet2!B170</f>
        <v>21.7142857142857</v>
      </c>
      <c r="C16" s="13">
        <f>Sheet2!C170</f>
        <v>5.85714285714286</v>
      </c>
      <c r="D16" s="13">
        <f>Sheet2!D170</f>
        <v>10</v>
      </c>
      <c r="E16" s="13">
        <f>Sheet2!E170</f>
        <v>1</v>
      </c>
      <c r="F16" s="13">
        <f>Sheet2!F170</f>
        <v>1.14285714285714</v>
      </c>
      <c r="G16" s="13">
        <f>Sheet2!G170</f>
        <v>8.57142857142857</v>
      </c>
      <c r="H16" s="13">
        <f>Sheet2!H170</f>
        <v>16.4285714285714</v>
      </c>
      <c r="I16" s="13">
        <f>Sheet2!I170</f>
        <v>52.1739130434783</v>
      </c>
      <c r="J16" s="13">
        <f>Sheet2!J170</f>
        <v>0.571428571428571</v>
      </c>
      <c r="K16" s="13">
        <f>Sheet2!K170</f>
        <v>2</v>
      </c>
      <c r="L16" s="13">
        <f>Sheet2!L170</f>
        <v>28.5714285714286</v>
      </c>
      <c r="M16" s="13">
        <f>Sheet2!M170</f>
        <v>4</v>
      </c>
      <c r="N16" s="13">
        <f>Sheet2!N170</f>
        <v>5.85714285714286</v>
      </c>
      <c r="O16" s="13">
        <f>Sheet2!O170</f>
        <v>68.2926829268293</v>
      </c>
      <c r="P16" s="13">
        <f>Sheet2!P170</f>
        <v>1.42857142857143</v>
      </c>
      <c r="Q16" s="13">
        <f>Sheet2!Q170</f>
        <v>2.71428571428571</v>
      </c>
      <c r="R16" s="13">
        <f>Sheet2!R170</f>
        <v>2.14285714285714</v>
      </c>
      <c r="S16" s="14">
        <f>Sheet2!S170</f>
        <v>-0.285714285714286</v>
      </c>
    </row>
    <row r="17" ht="22.5" customHeight="1" spans="1:19">
      <c r="A17" s="8" t="str">
        <f>Sheet2!A184</f>
        <v>Z.Williamson</v>
      </c>
      <c r="B17" s="9">
        <f>Sheet2!B185</f>
        <v>12.2857142857143</v>
      </c>
      <c r="C17" s="10">
        <f>Sheet2!C185</f>
        <v>8.85714285714286</v>
      </c>
      <c r="D17" s="10">
        <f>Sheet2!D185</f>
        <v>2.85714285714286</v>
      </c>
      <c r="E17" s="10">
        <f>Sheet2!E185</f>
        <v>1.14285714285714</v>
      </c>
      <c r="F17" s="10">
        <f>Sheet2!F185</f>
        <v>1.71428571428571</v>
      </c>
      <c r="G17" s="10">
        <f>Sheet2!G185</f>
        <v>5.42857142857143</v>
      </c>
      <c r="H17" s="10">
        <f>Sheet2!H185</f>
        <v>11.5714285714286</v>
      </c>
      <c r="I17" s="10">
        <f>Sheet2!I185</f>
        <v>46.9135802469136</v>
      </c>
      <c r="J17" s="10">
        <f>Sheet2!J185</f>
        <v>0.428571428571429</v>
      </c>
      <c r="K17" s="10">
        <f>Sheet2!K185</f>
        <v>1.85714285714286</v>
      </c>
      <c r="L17" s="10">
        <f>Sheet2!L185</f>
        <v>23.0769230769231</v>
      </c>
      <c r="M17" s="10">
        <f>Sheet2!M185</f>
        <v>1</v>
      </c>
      <c r="N17" s="10">
        <f>Sheet2!N185</f>
        <v>2</v>
      </c>
      <c r="O17" s="10">
        <f>Sheet2!O185</f>
        <v>50</v>
      </c>
      <c r="P17" s="10">
        <f>Sheet2!P185</f>
        <v>2.28571428571429</v>
      </c>
      <c r="Q17" s="10">
        <f>Sheet2!Q185</f>
        <v>4</v>
      </c>
      <c r="R17" s="10">
        <f>Sheet2!R185</f>
        <v>0.428571428571429</v>
      </c>
      <c r="S17" s="11">
        <f>Sheet2!S185</f>
        <v>6.14285714285714</v>
      </c>
    </row>
    <row r="18" ht="22.5" customHeight="1" spans="1:19">
      <c r="A18" s="8" t="str">
        <f>Sheet2!A199</f>
        <v>A.Drummond</v>
      </c>
      <c r="B18" s="12">
        <f>Sheet2!B200</f>
        <v>21</v>
      </c>
      <c r="C18" s="13">
        <f>Sheet2!C200</f>
        <v>19.1428571428571</v>
      </c>
      <c r="D18" s="13">
        <f>Sheet2!D200</f>
        <v>2.42857142857143</v>
      </c>
      <c r="E18" s="13">
        <f>Sheet2!E200</f>
        <v>0.571428571428571</v>
      </c>
      <c r="F18" s="13">
        <f>Sheet2!F200</f>
        <v>1.85714285714286</v>
      </c>
      <c r="G18" s="13">
        <f>Sheet2!G200</f>
        <v>9.85714285714286</v>
      </c>
      <c r="H18" s="13">
        <f>Sheet2!H200</f>
        <v>14.7142857142857</v>
      </c>
      <c r="I18" s="13">
        <f>Sheet2!I200</f>
        <v>66.9902912621359</v>
      </c>
      <c r="J18" s="13">
        <f>Sheet2!J200</f>
        <v>0</v>
      </c>
      <c r="K18" s="13">
        <f>Sheet2!K200</f>
        <v>0.142857142857143</v>
      </c>
      <c r="L18" s="13">
        <f>Sheet2!L200</f>
        <v>0</v>
      </c>
      <c r="M18" s="13">
        <f>Sheet2!M200</f>
        <v>1.28571428571429</v>
      </c>
      <c r="N18" s="13">
        <f>Sheet2!N200</f>
        <v>2</v>
      </c>
      <c r="O18" s="13">
        <f>Sheet2!O200</f>
        <v>64.2857142857143</v>
      </c>
      <c r="P18" s="13">
        <f>Sheet2!P200</f>
        <v>8.85714285714286</v>
      </c>
      <c r="Q18" s="13">
        <f>Sheet2!Q200</f>
        <v>2</v>
      </c>
      <c r="R18" s="13">
        <f>Sheet2!R200</f>
        <v>0.571428571428571</v>
      </c>
      <c r="S18" s="14">
        <f>Sheet2!S200</f>
        <v>1</v>
      </c>
    </row>
    <row r="19" ht="22.5" customHeight="1" spans="1:19">
      <c r="A19" s="8" t="str">
        <f>Sheet2!A214</f>
        <v>J.Holiday</v>
      </c>
      <c r="B19" s="9">
        <f>Sheet2!B215</f>
        <v>21.5714285714286</v>
      </c>
      <c r="C19" s="10">
        <f>Sheet2!C215</f>
        <v>3.14285714285714</v>
      </c>
      <c r="D19" s="10">
        <f>Sheet2!D215</f>
        <v>4</v>
      </c>
      <c r="E19" s="10">
        <f>Sheet2!E215</f>
        <v>0.571428571428571</v>
      </c>
      <c r="F19" s="10">
        <f>Sheet2!F215</f>
        <v>1.85714285714286</v>
      </c>
      <c r="G19" s="10">
        <f>Sheet2!G215</f>
        <v>8.57142857142857</v>
      </c>
      <c r="H19" s="10">
        <f>Sheet2!H215</f>
        <v>16.7142857142857</v>
      </c>
      <c r="I19" s="10">
        <f>Sheet2!I215</f>
        <v>51.2820512820513</v>
      </c>
      <c r="J19" s="10">
        <f>Sheet2!J215</f>
        <v>2.14285714285714</v>
      </c>
      <c r="K19" s="10">
        <f>Sheet2!K215</f>
        <v>5.42857142857143</v>
      </c>
      <c r="L19" s="10">
        <f>Sheet2!L215</f>
        <v>39.4736842105263</v>
      </c>
      <c r="M19" s="10">
        <f>Sheet2!M215</f>
        <v>2.28571428571429</v>
      </c>
      <c r="N19" s="10">
        <f>Sheet2!N215</f>
        <v>2.42857142857143</v>
      </c>
      <c r="O19" s="10">
        <f>Sheet2!O215</f>
        <v>94.1176470588235</v>
      </c>
      <c r="P19" s="10">
        <f>Sheet2!P215</f>
        <v>0.571428571428571</v>
      </c>
      <c r="Q19" s="10">
        <f>Sheet2!Q215</f>
        <v>1.85714285714286</v>
      </c>
      <c r="R19" s="10">
        <f>Sheet2!R215</f>
        <v>1.71428571428571</v>
      </c>
      <c r="S19" s="11">
        <f>Sheet2!S215</f>
        <v>2</v>
      </c>
    </row>
    <row r="20" ht="22.5" customHeight="1" spans="1:19">
      <c r="A20" s="8" t="str">
        <f>Sheet2!A229</f>
        <v>S.Mcdaniels</v>
      </c>
      <c r="B20" s="12">
        <f>Sheet2!B230</f>
        <v>10</v>
      </c>
      <c r="C20" s="13">
        <f>Sheet2!C230</f>
        <v>1.85714285714286</v>
      </c>
      <c r="D20" s="13">
        <f>Sheet2!D230</f>
        <v>3.85714285714286</v>
      </c>
      <c r="E20" s="13">
        <f>Sheet2!E230</f>
        <v>0</v>
      </c>
      <c r="F20" s="13">
        <f>Sheet2!F230</f>
        <v>0.857142857142857</v>
      </c>
      <c r="G20" s="13">
        <f>Sheet2!G230</f>
        <v>3.85714285714286</v>
      </c>
      <c r="H20" s="13">
        <f>Sheet2!H230</f>
        <v>7.85714285714286</v>
      </c>
      <c r="I20" s="13">
        <f>Sheet2!I230</f>
        <v>49.0909090909091</v>
      </c>
      <c r="J20" s="13">
        <f>Sheet2!J230</f>
        <v>0.857142857142857</v>
      </c>
      <c r="K20" s="13">
        <f>Sheet2!K230</f>
        <v>2</v>
      </c>
      <c r="L20" s="13">
        <f>Sheet2!L230</f>
        <v>42.8571428571429</v>
      </c>
      <c r="M20" s="13">
        <f>Sheet2!M230</f>
        <v>1.42857142857143</v>
      </c>
      <c r="N20" s="13">
        <f>Sheet2!N230</f>
        <v>2</v>
      </c>
      <c r="O20" s="13">
        <f>Sheet2!O230</f>
        <v>71.4285714285714</v>
      </c>
      <c r="P20" s="13">
        <f>Sheet2!P230</f>
        <v>0.285714285714286</v>
      </c>
      <c r="Q20" s="13">
        <f>Sheet2!Q230</f>
        <v>1.57142857142857</v>
      </c>
      <c r="R20" s="13">
        <f>Sheet2!R230</f>
        <v>1.57142857142857</v>
      </c>
      <c r="S20" s="14">
        <f>Sheet2!S230</f>
        <v>0.714285714285714</v>
      </c>
    </row>
    <row r="21" ht="22.5" customHeight="1" spans="1:19">
      <c r="A21" s="8" t="str">
        <f>Sheet2!A244</f>
        <v>J.Hart</v>
      </c>
      <c r="B21" s="9">
        <f>Sheet2!B245</f>
        <v>7.14285714285714</v>
      </c>
      <c r="C21" s="10">
        <f>Sheet2!C245</f>
        <v>1.14285714285714</v>
      </c>
      <c r="D21" s="10">
        <f>Sheet2!D245</f>
        <v>1.28571428571429</v>
      </c>
      <c r="E21" s="10">
        <f>Sheet2!E245</f>
        <v>0.285714285714286</v>
      </c>
      <c r="F21" s="10">
        <f>Sheet2!F245</f>
        <v>0.428571428571429</v>
      </c>
      <c r="G21" s="10">
        <f>Sheet2!G245</f>
        <v>2.85714285714286</v>
      </c>
      <c r="H21" s="10">
        <f>Sheet2!H245</f>
        <v>6</v>
      </c>
      <c r="I21" s="10">
        <f>Sheet2!I245</f>
        <v>47.6190476190476</v>
      </c>
      <c r="J21" s="10">
        <f>Sheet2!J245</f>
        <v>0.571428571428571</v>
      </c>
      <c r="K21" s="10">
        <f>Sheet2!K245</f>
        <v>2</v>
      </c>
      <c r="L21" s="10">
        <f>Sheet2!L245</f>
        <v>28.5714285714286</v>
      </c>
      <c r="M21" s="10">
        <f>Sheet2!M245</f>
        <v>0.857142857142857</v>
      </c>
      <c r="N21" s="10">
        <f>Sheet2!N245</f>
        <v>0.857142857142857</v>
      </c>
      <c r="O21" s="10">
        <f>Sheet2!O245</f>
        <v>100</v>
      </c>
      <c r="P21" s="10">
        <f>Sheet2!P245</f>
        <v>0.285714285714286</v>
      </c>
      <c r="Q21" s="10">
        <f>Sheet2!Q245</f>
        <v>1.28571428571429</v>
      </c>
      <c r="R21" s="10">
        <f>Sheet2!R245</f>
        <v>0.714285714285714</v>
      </c>
      <c r="S21" s="11">
        <f>Sheet2!S245</f>
        <v>1.57142857142857</v>
      </c>
    </row>
    <row r="22" ht="22.5" customHeight="1" spans="1:19">
      <c r="A22" s="8" t="str">
        <f>Sheet2!A259</f>
        <v>D.Gallinari</v>
      </c>
      <c r="B22" s="12">
        <f>Sheet2!B260</f>
        <v>4.85714285714286</v>
      </c>
      <c r="C22" s="13">
        <f>Sheet2!C260</f>
        <v>2.42857142857143</v>
      </c>
      <c r="D22" s="13">
        <f>Sheet2!D260</f>
        <v>1.14285714285714</v>
      </c>
      <c r="E22" s="13">
        <f>Sheet2!E260</f>
        <v>0.857142857142857</v>
      </c>
      <c r="F22" s="13">
        <f>Sheet2!F260</f>
        <v>1</v>
      </c>
      <c r="G22" s="13">
        <f>Sheet2!G260</f>
        <v>1.85714285714286</v>
      </c>
      <c r="H22" s="13">
        <f>Sheet2!H260</f>
        <v>4.71428571428571</v>
      </c>
      <c r="I22" s="13">
        <f>Sheet2!I260</f>
        <v>39.3939393939394</v>
      </c>
      <c r="J22" s="13">
        <f>Sheet2!J260</f>
        <v>1</v>
      </c>
      <c r="K22" s="13">
        <f>Sheet2!K260</f>
        <v>2.57142857142857</v>
      </c>
      <c r="L22" s="13">
        <f>Sheet2!L260</f>
        <v>38.8888888888889</v>
      </c>
      <c r="M22" s="13">
        <f>Sheet2!M260</f>
        <v>0.142857142857143</v>
      </c>
      <c r="N22" s="13">
        <f>Sheet2!N260</f>
        <v>0.142857142857143</v>
      </c>
      <c r="O22" s="13">
        <f>Sheet2!O260</f>
        <v>100</v>
      </c>
      <c r="P22" s="13">
        <f>Sheet2!P260</f>
        <v>0.714285714285714</v>
      </c>
      <c r="Q22" s="13">
        <f>Sheet2!Q260</f>
        <v>1.14285714285714</v>
      </c>
      <c r="R22" s="13">
        <f>Sheet2!R260</f>
        <v>0.142857142857143</v>
      </c>
      <c r="S22" s="14">
        <f>Sheet2!S260</f>
        <v>0.142857142857143</v>
      </c>
    </row>
    <row r="23" ht="22.5" customHeight="1" spans="1:19">
      <c r="A23" s="17" t="str">
        <f>Sheet2!A281</f>
        <v>NO总计</v>
      </c>
      <c r="B23" s="18">
        <f>Sheet2!B290</f>
        <v>157.428571428571</v>
      </c>
      <c r="C23" s="19">
        <f>Sheet2!C290</f>
        <v>55.7142857142857</v>
      </c>
      <c r="D23" s="19">
        <f>Sheet2!D290</f>
        <v>41.1428571428571</v>
      </c>
      <c r="E23" s="19">
        <f>Sheet2!E290</f>
        <v>8.85714285714286</v>
      </c>
      <c r="F23" s="19">
        <f>Sheet2!F290</f>
        <v>12.8571428571429</v>
      </c>
      <c r="G23" s="19">
        <f>Sheet2!G290</f>
        <v>64.8571428571429</v>
      </c>
      <c r="H23" s="19">
        <f>Sheet2!H290</f>
        <v>123.571428571429</v>
      </c>
      <c r="I23" s="19">
        <f>Sheet2!I290</f>
        <v>52.485549132948</v>
      </c>
      <c r="J23" s="19">
        <f>Sheet2!J290</f>
        <v>11.4285714285714</v>
      </c>
      <c r="K23" s="19">
        <f>Sheet2!K290</f>
        <v>30.7142857142857</v>
      </c>
      <c r="L23" s="19">
        <f>Sheet2!L290</f>
        <v>37.2093023255814</v>
      </c>
      <c r="M23" s="19">
        <f>Sheet2!M290</f>
        <v>16.2857142857143</v>
      </c>
      <c r="N23" s="19">
        <f>Sheet2!N290</f>
        <v>23.2857142857143</v>
      </c>
      <c r="O23" s="19">
        <f>Sheet2!O290</f>
        <v>69.9386503067485</v>
      </c>
      <c r="P23" s="19">
        <f>Sheet2!P290</f>
        <v>16.5714285714286</v>
      </c>
      <c r="Q23" s="19">
        <f>Sheet2!Q290</f>
        <v>24</v>
      </c>
      <c r="R23" s="19">
        <f>Sheet2!R290</f>
        <v>11.1428571428571</v>
      </c>
      <c r="S23" s="20">
        <f>Sheet2!S290</f>
        <v>1.71428571428571</v>
      </c>
    </row>
  </sheetData>
  <mergeCells count="2">
    <mergeCell ref="A2:S2"/>
    <mergeCell ref="A13:S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MEP-AN00</dc:creator>
  <cp:lastModifiedBy>范亦胥</cp:lastModifiedBy>
  <dcterms:created xsi:type="dcterms:W3CDTF">2026-10-02T06:52:00Z</dcterms:created>
  <dcterms:modified xsi:type="dcterms:W3CDTF">2026-10-03T16:34:41Z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8D7AFC2098594CAE9CC63EB8E50CEEB8_13</vt:lpwstr>
  </property>
  <property fmtid="{D5CDD505-2E9C-101B-9397-08002B2CF9AE}" pid="4" name="KSOProductBuildVer">
    <vt:lpwstr>2052-12.1.0.28505</vt:lpwstr>
  </property>
</Properties>
</file>